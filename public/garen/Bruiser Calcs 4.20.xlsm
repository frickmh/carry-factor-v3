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24915" windowHeight="12600" tabRatio="639" activeTab="12"/>
  </bookViews>
  <sheets>
    <sheet name="Maokai" sheetId="10" r:id="rId1"/>
    <sheet name="Gragas" sheetId="18" r:id="rId2"/>
    <sheet name="Jarvan" sheetId="12" r:id="rId3"/>
    <sheet name="Nasus" sheetId="2" r:id="rId4"/>
    <sheet name="Monster Data" sheetId="3" r:id="rId5"/>
    <sheet name="Vlad" sheetId="24" r:id="rId6"/>
    <sheet name="Xin" sheetId="20" r:id="rId7"/>
    <sheet name="Vayne" sheetId="26" r:id="rId8"/>
    <sheet name="Trynd" sheetId="21" r:id="rId9"/>
    <sheet name="Jax" sheetId="4" r:id="rId10"/>
    <sheet name="Garen" sheetId="16" r:id="rId11"/>
    <sheet name="Garen (Update)" sheetId="27" r:id="rId12"/>
    <sheet name="Garen (Update) (2)" sheetId="28" r:id="rId13"/>
    <sheet name="Vi" sheetId="29" r:id="rId14"/>
    <sheet name="Renekton" sheetId="23" r:id="rId15"/>
    <sheet name="Irelia" sheetId="22" r:id="rId16"/>
    <sheet name="Shyvana" sheetId="15" r:id="rId17"/>
    <sheet name="Monster DPS" sheetId="5" r:id="rId18"/>
    <sheet name="Levels" sheetId="7" r:id="rId19"/>
    <sheet name="Sheet4" sheetId="19" r:id="rId20"/>
  </sheets>
  <calcPr calcId="145621"/>
  <fileRecoveryPr repairLoad="1"/>
</workbook>
</file>

<file path=xl/calcChain.xml><?xml version="1.0" encoding="utf-8"?>
<calcChain xmlns="http://schemas.openxmlformats.org/spreadsheetml/2006/main">
  <c r="N74" i="28" l="1"/>
  <c r="Y87" i="28" l="1"/>
  <c r="Z87" i="28"/>
  <c r="S26" i="28" l="1"/>
  <c r="S19" i="28" l="1"/>
  <c r="Y19" i="28"/>
  <c r="AC88" i="28" l="1"/>
  <c r="N55" i="16" l="1"/>
  <c r="O55" i="16"/>
  <c r="Y15" i="28"/>
  <c r="T94" i="28" l="1"/>
  <c r="D142" i="28"/>
  <c r="E142" i="28"/>
  <c r="F142" i="28"/>
  <c r="G142" i="28"/>
  <c r="H142" i="28"/>
  <c r="H137" i="29" l="1"/>
  <c r="G137" i="29"/>
  <c r="F137" i="29"/>
  <c r="E137" i="29"/>
  <c r="D137" i="29"/>
  <c r="H136" i="29"/>
  <c r="G136" i="29"/>
  <c r="F136" i="29"/>
  <c r="E136" i="29"/>
  <c r="D136" i="29"/>
  <c r="H135" i="29"/>
  <c r="G135" i="29"/>
  <c r="F135" i="29"/>
  <c r="E135" i="29"/>
  <c r="D135" i="29"/>
  <c r="H134" i="29"/>
  <c r="G134" i="29"/>
  <c r="F134" i="29"/>
  <c r="E134" i="29"/>
  <c r="D134" i="29"/>
  <c r="H133" i="29"/>
  <c r="G133" i="29"/>
  <c r="F133" i="29"/>
  <c r="E133" i="29"/>
  <c r="D133" i="29"/>
  <c r="H132" i="29"/>
  <c r="G132" i="29"/>
  <c r="F132" i="29"/>
  <c r="E132" i="29"/>
  <c r="D132" i="29"/>
  <c r="H131" i="29"/>
  <c r="G131" i="29"/>
  <c r="F131" i="29"/>
  <c r="E131" i="29"/>
  <c r="D131" i="29"/>
  <c r="H130" i="29"/>
  <c r="G130" i="29"/>
  <c r="F130" i="29"/>
  <c r="E130" i="29"/>
  <c r="D130" i="29"/>
  <c r="H129" i="29"/>
  <c r="G129" i="29"/>
  <c r="F129" i="29"/>
  <c r="E129" i="29"/>
  <c r="D129" i="29"/>
  <c r="H128" i="29"/>
  <c r="G128" i="29"/>
  <c r="F128" i="29"/>
  <c r="E128" i="29"/>
  <c r="D128" i="29"/>
  <c r="H127" i="29"/>
  <c r="G127" i="29"/>
  <c r="F127" i="29"/>
  <c r="E127" i="29"/>
  <c r="D127" i="29"/>
  <c r="H126" i="29"/>
  <c r="G126" i="29"/>
  <c r="F126" i="29"/>
  <c r="E126" i="29"/>
  <c r="D126" i="29"/>
  <c r="H125" i="29"/>
  <c r="G125" i="29"/>
  <c r="F125" i="29"/>
  <c r="E125" i="29"/>
  <c r="D125" i="29"/>
  <c r="H124" i="29"/>
  <c r="G124" i="29"/>
  <c r="F124" i="29"/>
  <c r="E124" i="29"/>
  <c r="D124" i="29"/>
  <c r="H123" i="29"/>
  <c r="G123" i="29"/>
  <c r="F123" i="29"/>
  <c r="E123" i="29"/>
  <c r="D123" i="29"/>
  <c r="H122" i="29"/>
  <c r="G122" i="29"/>
  <c r="F122" i="29"/>
  <c r="E122" i="29"/>
  <c r="D122" i="29"/>
  <c r="H121" i="29"/>
  <c r="G121" i="29"/>
  <c r="F121" i="29"/>
  <c r="E121" i="29"/>
  <c r="D121" i="29"/>
  <c r="H120" i="29"/>
  <c r="G120" i="29"/>
  <c r="F120" i="29"/>
  <c r="E120" i="29"/>
  <c r="D120" i="29"/>
  <c r="H119" i="29"/>
  <c r="G119" i="29"/>
  <c r="F119" i="29"/>
  <c r="E119" i="29"/>
  <c r="D119" i="29"/>
  <c r="H118" i="29"/>
  <c r="G118" i="29"/>
  <c r="F118" i="29"/>
  <c r="E118" i="29"/>
  <c r="D118" i="29"/>
  <c r="H117" i="29"/>
  <c r="G117" i="29"/>
  <c r="F117" i="29"/>
  <c r="E117" i="29"/>
  <c r="D117" i="29"/>
  <c r="H116" i="29"/>
  <c r="G116" i="29"/>
  <c r="G138" i="29" s="1"/>
  <c r="AE6" i="29" s="1"/>
  <c r="AE11" i="29" s="1"/>
  <c r="F116" i="29"/>
  <c r="E116" i="29"/>
  <c r="D116" i="29"/>
  <c r="H115" i="29"/>
  <c r="H138" i="29" s="1"/>
  <c r="AE7" i="29" s="1"/>
  <c r="AE10" i="29" s="1"/>
  <c r="G115" i="29"/>
  <c r="F115" i="29"/>
  <c r="F138" i="29" s="1"/>
  <c r="N88" i="29" s="1"/>
  <c r="E115" i="29"/>
  <c r="E138" i="29" s="1"/>
  <c r="M88" i="29" s="1"/>
  <c r="D115" i="29"/>
  <c r="D138" i="29" s="1"/>
  <c r="L88" i="29" s="1"/>
  <c r="W82" i="29"/>
  <c r="H82" i="29"/>
  <c r="G82" i="29"/>
  <c r="F82" i="29"/>
  <c r="E82" i="29"/>
  <c r="D82" i="29"/>
  <c r="H81" i="29"/>
  <c r="G81" i="29"/>
  <c r="F81" i="29"/>
  <c r="E81" i="29"/>
  <c r="D81" i="29"/>
  <c r="H80" i="29"/>
  <c r="G80" i="29"/>
  <c r="F80" i="29"/>
  <c r="D80" i="29"/>
  <c r="H79" i="29"/>
  <c r="G79" i="29"/>
  <c r="F79" i="29"/>
  <c r="E79" i="29"/>
  <c r="D79" i="29"/>
  <c r="W78" i="29"/>
  <c r="H78" i="29"/>
  <c r="G78" i="29"/>
  <c r="F78" i="29"/>
  <c r="E78" i="29"/>
  <c r="D78" i="29"/>
  <c r="H77" i="29"/>
  <c r="G77" i="29"/>
  <c r="F77" i="29"/>
  <c r="E77" i="29"/>
  <c r="D77" i="29"/>
  <c r="H76" i="29"/>
  <c r="G76" i="29"/>
  <c r="F76" i="29"/>
  <c r="E76" i="29"/>
  <c r="D76" i="29"/>
  <c r="H75" i="29"/>
  <c r="G75" i="29"/>
  <c r="F75" i="29"/>
  <c r="E75" i="29"/>
  <c r="D75" i="29"/>
  <c r="N74" i="29"/>
  <c r="H74" i="29"/>
  <c r="G74" i="29"/>
  <c r="F74" i="29"/>
  <c r="E74" i="29"/>
  <c r="D74" i="29"/>
  <c r="W73" i="29"/>
  <c r="H73" i="29"/>
  <c r="G73" i="29"/>
  <c r="F73" i="29"/>
  <c r="E73" i="29"/>
  <c r="D73" i="29"/>
  <c r="H72" i="29"/>
  <c r="G72" i="29"/>
  <c r="F72" i="29"/>
  <c r="E72" i="29"/>
  <c r="D72" i="29"/>
  <c r="V71" i="29"/>
  <c r="H71" i="29"/>
  <c r="G71" i="29"/>
  <c r="F71" i="29"/>
  <c r="E71" i="29"/>
  <c r="D71" i="29"/>
  <c r="H70" i="29"/>
  <c r="G70" i="29"/>
  <c r="F70" i="29"/>
  <c r="E70" i="29"/>
  <c r="D70" i="29"/>
  <c r="H69" i="29"/>
  <c r="G69" i="29"/>
  <c r="F69" i="29"/>
  <c r="E69" i="29"/>
  <c r="D69" i="29"/>
  <c r="H68" i="29"/>
  <c r="G68" i="29"/>
  <c r="F68" i="29"/>
  <c r="E68" i="29"/>
  <c r="D68" i="29"/>
  <c r="H67" i="29"/>
  <c r="G67" i="29"/>
  <c r="F67" i="29"/>
  <c r="E67" i="29"/>
  <c r="D67" i="29"/>
  <c r="U66" i="29"/>
  <c r="S66" i="29"/>
  <c r="Q66" i="29"/>
  <c r="O66" i="29"/>
  <c r="M66" i="29"/>
  <c r="H66" i="29"/>
  <c r="G66" i="29"/>
  <c r="F66" i="29"/>
  <c r="E66" i="29"/>
  <c r="D66" i="29"/>
  <c r="U65" i="29"/>
  <c r="S65" i="29"/>
  <c r="Q65" i="29"/>
  <c r="O65" i="29"/>
  <c r="M65" i="29"/>
  <c r="H65" i="29"/>
  <c r="G65" i="29"/>
  <c r="F65" i="29"/>
  <c r="E65" i="29"/>
  <c r="D65" i="29"/>
  <c r="AA64" i="29"/>
  <c r="AA65" i="29" s="1"/>
  <c r="U64" i="29"/>
  <c r="R64" i="29"/>
  <c r="S64" i="29" s="1"/>
  <c r="P64" i="29"/>
  <c r="Q64" i="29" s="1"/>
  <c r="O64" i="29"/>
  <c r="M64" i="29"/>
  <c r="H64" i="29"/>
  <c r="G64" i="29"/>
  <c r="F64" i="29"/>
  <c r="E64" i="29"/>
  <c r="D64" i="29"/>
  <c r="AA63" i="29"/>
  <c r="H63" i="29"/>
  <c r="G63" i="29"/>
  <c r="F63" i="29"/>
  <c r="E63" i="29"/>
  <c r="D63" i="29"/>
  <c r="H62" i="29"/>
  <c r="G62" i="29"/>
  <c r="F62" i="29"/>
  <c r="E62" i="29"/>
  <c r="D62" i="29"/>
  <c r="H61" i="29"/>
  <c r="G61" i="29"/>
  <c r="F61" i="29"/>
  <c r="E61" i="29"/>
  <c r="D61" i="29"/>
  <c r="H60" i="29"/>
  <c r="G60" i="29"/>
  <c r="F60" i="29"/>
  <c r="E60" i="29"/>
  <c r="D60" i="29"/>
  <c r="H59" i="29"/>
  <c r="G59" i="29"/>
  <c r="F59" i="29"/>
  <c r="E59" i="29"/>
  <c r="D59" i="29"/>
  <c r="H58" i="29"/>
  <c r="G58" i="29"/>
  <c r="F58" i="29"/>
  <c r="E58" i="29"/>
  <c r="D58" i="29"/>
  <c r="H57" i="29"/>
  <c r="G57" i="29"/>
  <c r="F57" i="29"/>
  <c r="E57" i="29"/>
  <c r="D57" i="29"/>
  <c r="H56" i="29"/>
  <c r="G56" i="29"/>
  <c r="F56" i="29"/>
  <c r="E56" i="29"/>
  <c r="D56" i="29"/>
  <c r="H55" i="29"/>
  <c r="G55" i="29"/>
  <c r="F55" i="29"/>
  <c r="F83" i="29" s="1"/>
  <c r="L20" i="29" s="1"/>
  <c r="E55" i="29"/>
  <c r="D55" i="29"/>
  <c r="G54" i="29"/>
  <c r="F54" i="29"/>
  <c r="E54" i="29"/>
  <c r="D54" i="29"/>
  <c r="O53" i="29"/>
  <c r="N53" i="29"/>
  <c r="H53" i="29"/>
  <c r="G53" i="29"/>
  <c r="G83" i="29" s="1"/>
  <c r="M20" i="29" s="1"/>
  <c r="F53" i="29"/>
  <c r="E53" i="29"/>
  <c r="E83" i="29" s="1"/>
  <c r="K20" i="29" s="1"/>
  <c r="D53" i="29"/>
  <c r="D83" i="29" s="1"/>
  <c r="J20" i="29" s="1"/>
  <c r="O50" i="29"/>
  <c r="M50" i="29"/>
  <c r="M70" i="29" s="1"/>
  <c r="N70" i="29" s="1"/>
  <c r="Z48" i="29"/>
  <c r="Z47" i="29"/>
  <c r="V51" i="29" s="1"/>
  <c r="W51" i="29" s="1"/>
  <c r="O47" i="29"/>
  <c r="E47" i="29"/>
  <c r="E80" i="29" s="1"/>
  <c r="U44" i="29"/>
  <c r="V43" i="29"/>
  <c r="V47" i="29" s="1"/>
  <c r="R42" i="29"/>
  <c r="Q39" i="29"/>
  <c r="P39" i="29"/>
  <c r="O39" i="29"/>
  <c r="M38" i="29"/>
  <c r="M35" i="29"/>
  <c r="M34" i="29"/>
  <c r="M36" i="29" s="1"/>
  <c r="S27" i="29"/>
  <c r="E16" i="29"/>
  <c r="F16" i="29" s="1"/>
  <c r="D16" i="29"/>
  <c r="V15" i="29"/>
  <c r="S15" i="29"/>
  <c r="C15" i="29"/>
  <c r="D14" i="29" s="1"/>
  <c r="S14" i="29"/>
  <c r="Y13" i="29"/>
  <c r="M12" i="29"/>
  <c r="M11" i="29"/>
  <c r="V48" i="29" s="1"/>
  <c r="M10" i="29"/>
  <c r="S13" i="29" s="1"/>
  <c r="M9" i="29"/>
  <c r="V8" i="29"/>
  <c r="M8" i="29"/>
  <c r="M75" i="29" s="1"/>
  <c r="N75" i="29" s="1"/>
  <c r="D8" i="29"/>
  <c r="M7" i="29"/>
  <c r="M6" i="29"/>
  <c r="AA5" i="29"/>
  <c r="M5" i="29"/>
  <c r="AA4" i="29"/>
  <c r="S4" i="29"/>
  <c r="M4" i="29"/>
  <c r="V13" i="29" s="1"/>
  <c r="N59" i="29" l="1"/>
  <c r="N61" i="29"/>
  <c r="N60" i="29"/>
  <c r="AA8" i="29"/>
  <c r="P5" i="29"/>
  <c r="AA10" i="29"/>
  <c r="M90" i="29" s="1"/>
  <c r="P10" i="29"/>
  <c r="Y16" i="29"/>
  <c r="Y18" i="29" s="1"/>
  <c r="P4" i="29"/>
  <c r="S6" i="29"/>
  <c r="S10" i="29" s="1"/>
  <c r="P7" i="29"/>
  <c r="V14" i="29"/>
  <c r="V16" i="29" s="1"/>
  <c r="V18" i="29" s="1"/>
  <c r="P9" i="29"/>
  <c r="S16" i="29"/>
  <c r="M59" i="29"/>
  <c r="M61" i="29"/>
  <c r="M60" i="29"/>
  <c r="M28" i="29"/>
  <c r="E124" i="28"/>
  <c r="F124" i="28"/>
  <c r="G124" i="28"/>
  <c r="H124" i="28"/>
  <c r="D58" i="28"/>
  <c r="E58" i="28"/>
  <c r="F58" i="28"/>
  <c r="G58" i="28"/>
  <c r="H58" i="28"/>
  <c r="H141" i="28"/>
  <c r="G141" i="28"/>
  <c r="F141" i="28"/>
  <c r="E141" i="28"/>
  <c r="D141" i="28"/>
  <c r="H140" i="28"/>
  <c r="G140" i="28"/>
  <c r="F140" i="28"/>
  <c r="E140" i="28"/>
  <c r="D140" i="28"/>
  <c r="H139" i="28"/>
  <c r="G139" i="28"/>
  <c r="F139" i="28"/>
  <c r="E139" i="28"/>
  <c r="D139" i="28"/>
  <c r="H138" i="28"/>
  <c r="G138" i="28"/>
  <c r="F138" i="28"/>
  <c r="E138" i="28"/>
  <c r="D138" i="28"/>
  <c r="H137" i="28"/>
  <c r="G137" i="28"/>
  <c r="F137" i="28"/>
  <c r="E137" i="28"/>
  <c r="D137" i="28"/>
  <c r="H136" i="28"/>
  <c r="G136" i="28"/>
  <c r="F136" i="28"/>
  <c r="E136" i="28"/>
  <c r="D136" i="28"/>
  <c r="H135" i="28"/>
  <c r="G135" i="28"/>
  <c r="F135" i="28"/>
  <c r="E135" i="28"/>
  <c r="D135" i="28"/>
  <c r="H134" i="28"/>
  <c r="G134" i="28"/>
  <c r="F134" i="28"/>
  <c r="E134" i="28"/>
  <c r="D134" i="28"/>
  <c r="H133" i="28"/>
  <c r="G133" i="28"/>
  <c r="F133" i="28"/>
  <c r="E133" i="28"/>
  <c r="D133" i="28"/>
  <c r="H132" i="28"/>
  <c r="G132" i="28"/>
  <c r="F132" i="28"/>
  <c r="E132" i="28"/>
  <c r="D132" i="28"/>
  <c r="H131" i="28"/>
  <c r="G131" i="28"/>
  <c r="F131" i="28"/>
  <c r="E131" i="28"/>
  <c r="D131" i="28"/>
  <c r="H130" i="28"/>
  <c r="G130" i="28"/>
  <c r="F130" i="28"/>
  <c r="E130" i="28"/>
  <c r="D130" i="28"/>
  <c r="H129" i="28"/>
  <c r="G129" i="28"/>
  <c r="F129" i="28"/>
  <c r="E129" i="28"/>
  <c r="D129" i="28"/>
  <c r="H128" i="28"/>
  <c r="G128" i="28"/>
  <c r="F128" i="28"/>
  <c r="E128" i="28"/>
  <c r="D128" i="28"/>
  <c r="H127" i="28"/>
  <c r="G127" i="28"/>
  <c r="F127" i="28"/>
  <c r="E127" i="28"/>
  <c r="D127" i="28"/>
  <c r="H126" i="28"/>
  <c r="G126" i="28"/>
  <c r="F126" i="28"/>
  <c r="E126" i="28"/>
  <c r="D126" i="28"/>
  <c r="H125" i="28"/>
  <c r="G125" i="28"/>
  <c r="F125" i="28"/>
  <c r="E125" i="28"/>
  <c r="D125" i="28"/>
  <c r="H123" i="28"/>
  <c r="G123" i="28"/>
  <c r="F123" i="28"/>
  <c r="E123" i="28"/>
  <c r="D123" i="28"/>
  <c r="H122" i="28"/>
  <c r="G122" i="28"/>
  <c r="F122" i="28"/>
  <c r="E122" i="28"/>
  <c r="D122" i="28"/>
  <c r="H121" i="28"/>
  <c r="G121" i="28"/>
  <c r="F121" i="28"/>
  <c r="E121" i="28"/>
  <c r="D121" i="28"/>
  <c r="H120" i="28"/>
  <c r="G120" i="28"/>
  <c r="F120" i="28"/>
  <c r="E120" i="28"/>
  <c r="D120" i="28"/>
  <c r="H119" i="28"/>
  <c r="G119" i="28"/>
  <c r="F119" i="28"/>
  <c r="E119" i="28"/>
  <c r="D119" i="28"/>
  <c r="H118" i="28"/>
  <c r="G118" i="28"/>
  <c r="F118" i="28"/>
  <c r="E118" i="28"/>
  <c r="D118" i="28"/>
  <c r="W82" i="28"/>
  <c r="H84" i="28"/>
  <c r="G84" i="28"/>
  <c r="F84" i="28"/>
  <c r="E84" i="28"/>
  <c r="D84" i="28"/>
  <c r="H83" i="28"/>
  <c r="G83" i="28"/>
  <c r="F83" i="28"/>
  <c r="E83" i="28"/>
  <c r="D83" i="28"/>
  <c r="H82" i="28"/>
  <c r="G82" i="28"/>
  <c r="F82" i="28"/>
  <c r="D82" i="28"/>
  <c r="H81" i="28"/>
  <c r="G81" i="28"/>
  <c r="F81" i="28"/>
  <c r="E81" i="28"/>
  <c r="D81" i="28"/>
  <c r="W78" i="28"/>
  <c r="H80" i="28"/>
  <c r="G80" i="28"/>
  <c r="F80" i="28"/>
  <c r="E80" i="28"/>
  <c r="D80" i="28"/>
  <c r="H79" i="28"/>
  <c r="G79" i="28"/>
  <c r="F79" i="28"/>
  <c r="E79" i="28"/>
  <c r="D79" i="28"/>
  <c r="H78" i="28"/>
  <c r="G78" i="28"/>
  <c r="F78" i="28"/>
  <c r="E78" i="28"/>
  <c r="D78" i="28"/>
  <c r="H77" i="28"/>
  <c r="G77" i="28"/>
  <c r="F77" i="28"/>
  <c r="E77" i="28"/>
  <c r="D77" i="28"/>
  <c r="M74" i="28"/>
  <c r="H76" i="28"/>
  <c r="G76" i="28"/>
  <c r="F76" i="28"/>
  <c r="E76" i="28"/>
  <c r="D76" i="28"/>
  <c r="W73" i="28"/>
  <c r="H75" i="28"/>
  <c r="G75" i="28"/>
  <c r="F75" i="28"/>
  <c r="E75" i="28"/>
  <c r="D75" i="28"/>
  <c r="H74" i="28"/>
  <c r="G74" i="28"/>
  <c r="F74" i="28"/>
  <c r="E74" i="28"/>
  <c r="D74" i="28"/>
  <c r="V71" i="28"/>
  <c r="H73" i="28"/>
  <c r="G73" i="28"/>
  <c r="F73" i="28"/>
  <c r="E73" i="28"/>
  <c r="D73" i="28"/>
  <c r="H72" i="28"/>
  <c r="G72" i="28"/>
  <c r="F72" i="28"/>
  <c r="E72" i="28"/>
  <c r="D72" i="28"/>
  <c r="H71" i="28"/>
  <c r="G71" i="28"/>
  <c r="F71" i="28"/>
  <c r="E71" i="28"/>
  <c r="D71" i="28"/>
  <c r="H70" i="28"/>
  <c r="G70" i="28"/>
  <c r="F70" i="28"/>
  <c r="E70" i="28"/>
  <c r="D70" i="28"/>
  <c r="H69" i="28"/>
  <c r="G69" i="28"/>
  <c r="F69" i="28"/>
  <c r="E69" i="28"/>
  <c r="D69" i="28"/>
  <c r="U66" i="28"/>
  <c r="S66" i="28"/>
  <c r="Q66" i="28"/>
  <c r="O66" i="28"/>
  <c r="M66" i="28"/>
  <c r="H68" i="28"/>
  <c r="G68" i="28"/>
  <c r="F68" i="28"/>
  <c r="E68" i="28"/>
  <c r="D68" i="28"/>
  <c r="U65" i="28"/>
  <c r="S65" i="28"/>
  <c r="Q65" i="28"/>
  <c r="O65" i="28"/>
  <c r="M65" i="28"/>
  <c r="H67" i="28"/>
  <c r="G67" i="28"/>
  <c r="F67" i="28"/>
  <c r="E67" i="28"/>
  <c r="D67" i="28"/>
  <c r="AA64" i="28"/>
  <c r="AA65" i="28" s="1"/>
  <c r="U64" i="28"/>
  <c r="R64" i="28"/>
  <c r="S64" i="28" s="1"/>
  <c r="P64" i="28"/>
  <c r="Q64" i="28" s="1"/>
  <c r="O64" i="28"/>
  <c r="M64" i="28"/>
  <c r="H66" i="28"/>
  <c r="G66" i="28"/>
  <c r="F66" i="28"/>
  <c r="E66" i="28"/>
  <c r="D66" i="28"/>
  <c r="AA63" i="28"/>
  <c r="H65" i="28"/>
  <c r="G65" i="28"/>
  <c r="F65" i="28"/>
  <c r="E65" i="28"/>
  <c r="D65" i="28"/>
  <c r="H64" i="28"/>
  <c r="G64" i="28"/>
  <c r="F64" i="28"/>
  <c r="E64" i="28"/>
  <c r="D64" i="28"/>
  <c r="H63" i="28"/>
  <c r="G63" i="28"/>
  <c r="F63" i="28"/>
  <c r="E63" i="28"/>
  <c r="D63" i="28"/>
  <c r="H62" i="28"/>
  <c r="G62" i="28"/>
  <c r="F62" i="28"/>
  <c r="E62" i="28"/>
  <c r="D62" i="28"/>
  <c r="H61" i="28"/>
  <c r="G61" i="28"/>
  <c r="F61" i="28"/>
  <c r="E61" i="28"/>
  <c r="D61" i="28"/>
  <c r="H60" i="28"/>
  <c r="G60" i="28"/>
  <c r="F60" i="28"/>
  <c r="E60" i="28"/>
  <c r="D60" i="28"/>
  <c r="H59" i="28"/>
  <c r="G59" i="28"/>
  <c r="F59" i="28"/>
  <c r="E59" i="28"/>
  <c r="D59" i="28"/>
  <c r="H57" i="28"/>
  <c r="G57" i="28"/>
  <c r="F57" i="28"/>
  <c r="E57" i="28"/>
  <c r="D57" i="28"/>
  <c r="H56" i="28"/>
  <c r="G56" i="28"/>
  <c r="F56" i="28"/>
  <c r="E56" i="28"/>
  <c r="D56" i="28"/>
  <c r="G55" i="28"/>
  <c r="F55" i="28"/>
  <c r="E55" i="28"/>
  <c r="D55" i="28"/>
  <c r="N53" i="28"/>
  <c r="O53" i="28" s="1"/>
  <c r="H54" i="28"/>
  <c r="G54" i="28"/>
  <c r="F54" i="28"/>
  <c r="E54" i="28"/>
  <c r="D54" i="28"/>
  <c r="O50" i="28"/>
  <c r="M50" i="28"/>
  <c r="M70" i="28" s="1"/>
  <c r="Z48" i="28"/>
  <c r="Z47" i="28"/>
  <c r="O47" i="28"/>
  <c r="E48" i="28"/>
  <c r="E82" i="28" s="1"/>
  <c r="U44" i="28"/>
  <c r="V43" i="28"/>
  <c r="V47" i="28" s="1"/>
  <c r="Q39" i="28"/>
  <c r="P39" i="28"/>
  <c r="O39" i="28"/>
  <c r="M38" i="28"/>
  <c r="M35" i="28"/>
  <c r="M34" i="28"/>
  <c r="M36" i="28" s="1"/>
  <c r="E16" i="28"/>
  <c r="D16" i="28"/>
  <c r="V15" i="28"/>
  <c r="S15" i="28"/>
  <c r="C15" i="28"/>
  <c r="D14" i="28" s="1"/>
  <c r="S14" i="28"/>
  <c r="M12" i="28"/>
  <c r="M11" i="28"/>
  <c r="M10" i="28"/>
  <c r="S13" i="28" s="1"/>
  <c r="M9" i="28"/>
  <c r="V8" i="28"/>
  <c r="M8" i="28"/>
  <c r="D8" i="28"/>
  <c r="M7" i="28"/>
  <c r="M6" i="28"/>
  <c r="AA5" i="28"/>
  <c r="M5" i="28"/>
  <c r="AA4" i="28"/>
  <c r="M4" i="28"/>
  <c r="M75" i="28" l="1"/>
  <c r="N75" i="28" s="1"/>
  <c r="M28" i="28"/>
  <c r="N70" i="28"/>
  <c r="G143" i="28"/>
  <c r="AE6" i="28" s="1"/>
  <c r="E143" i="28"/>
  <c r="M90" i="28" s="1"/>
  <c r="P5" i="28" s="1"/>
  <c r="H143" i="28"/>
  <c r="AE7" i="28" s="1"/>
  <c r="AE10" i="28" s="1"/>
  <c r="M60" i="28" s="1"/>
  <c r="F143" i="28"/>
  <c r="N90" i="28" s="1"/>
  <c r="H21" i="29"/>
  <c r="H54" i="29" s="1"/>
  <c r="H83" i="29" s="1"/>
  <c r="N20" i="29" s="1"/>
  <c r="P8" i="29" s="1"/>
  <c r="S20" i="29"/>
  <c r="O60" i="29"/>
  <c r="P60" i="29" s="1"/>
  <c r="S18" i="29"/>
  <c r="O61" i="29"/>
  <c r="P61" i="29" s="1"/>
  <c r="M98" i="29"/>
  <c r="M99" i="29" s="1"/>
  <c r="N77" i="29" s="1"/>
  <c r="E14" i="29"/>
  <c r="F14" i="29" s="1"/>
  <c r="M76" i="29"/>
  <c r="M94" i="29"/>
  <c r="M57" i="29"/>
  <c r="E8" i="29"/>
  <c r="F8" i="29" s="1"/>
  <c r="S8" i="29"/>
  <c r="O59" i="29"/>
  <c r="P59" i="29" s="1"/>
  <c r="I37" i="29"/>
  <c r="Y20" i="29"/>
  <c r="D96" i="28"/>
  <c r="D124" i="28" s="1"/>
  <c r="D143" i="28" s="1"/>
  <c r="V48" i="28"/>
  <c r="V51" i="28" s="1"/>
  <c r="W51" i="28" s="1"/>
  <c r="F85" i="28"/>
  <c r="L20" i="28" s="1"/>
  <c r="V14" i="28" s="1"/>
  <c r="D85" i="28"/>
  <c r="J20" i="28" s="1"/>
  <c r="P9" i="28" s="1"/>
  <c r="G85" i="28"/>
  <c r="M20" i="28" s="1"/>
  <c r="F16" i="28"/>
  <c r="E85" i="28"/>
  <c r="K20" i="28" s="1"/>
  <c r="V13" i="28"/>
  <c r="Y13" i="28"/>
  <c r="C15" i="27"/>
  <c r="D14" i="27" s="1"/>
  <c r="H137" i="27"/>
  <c r="G137" i="27"/>
  <c r="F137" i="27"/>
  <c r="E137" i="27"/>
  <c r="D137" i="27"/>
  <c r="H136" i="27"/>
  <c r="G136" i="27"/>
  <c r="F136" i="27"/>
  <c r="E136" i="27"/>
  <c r="D136" i="27"/>
  <c r="H135" i="27"/>
  <c r="G135" i="27"/>
  <c r="F135" i="27"/>
  <c r="E135" i="27"/>
  <c r="D135" i="27"/>
  <c r="H134" i="27"/>
  <c r="G134" i="27"/>
  <c r="F134" i="27"/>
  <c r="E134" i="27"/>
  <c r="D134" i="27"/>
  <c r="H133" i="27"/>
  <c r="G133" i="27"/>
  <c r="F133" i="27"/>
  <c r="E133" i="27"/>
  <c r="D133" i="27"/>
  <c r="H132" i="27"/>
  <c r="G132" i="27"/>
  <c r="F132" i="27"/>
  <c r="E132" i="27"/>
  <c r="D132" i="27"/>
  <c r="H131" i="27"/>
  <c r="G131" i="27"/>
  <c r="F131" i="27"/>
  <c r="E131" i="27"/>
  <c r="D131" i="27"/>
  <c r="H130" i="27"/>
  <c r="G130" i="27"/>
  <c r="F130" i="27"/>
  <c r="E130" i="27"/>
  <c r="D130" i="27"/>
  <c r="H129" i="27"/>
  <c r="G129" i="27"/>
  <c r="F129" i="27"/>
  <c r="E129" i="27"/>
  <c r="D129" i="27"/>
  <c r="H128" i="27"/>
  <c r="G128" i="27"/>
  <c r="F128" i="27"/>
  <c r="E128" i="27"/>
  <c r="D128" i="27"/>
  <c r="H127" i="27"/>
  <c r="G127" i="27"/>
  <c r="F127" i="27"/>
  <c r="E127" i="27"/>
  <c r="D127" i="27"/>
  <c r="H126" i="27"/>
  <c r="G126" i="27"/>
  <c r="F126" i="27"/>
  <c r="E126" i="27"/>
  <c r="D126" i="27"/>
  <c r="H125" i="27"/>
  <c r="G125" i="27"/>
  <c r="F125" i="27"/>
  <c r="E125" i="27"/>
  <c r="D125" i="27"/>
  <c r="H124" i="27"/>
  <c r="G124" i="27"/>
  <c r="F124" i="27"/>
  <c r="E124" i="27"/>
  <c r="D124" i="27"/>
  <c r="H123" i="27"/>
  <c r="G123" i="27"/>
  <c r="F123" i="27"/>
  <c r="E123" i="27"/>
  <c r="D123" i="27"/>
  <c r="H122" i="27"/>
  <c r="G122" i="27"/>
  <c r="F122" i="27"/>
  <c r="E122" i="27"/>
  <c r="D122" i="27"/>
  <c r="H121" i="27"/>
  <c r="G121" i="27"/>
  <c r="F121" i="27"/>
  <c r="E121" i="27"/>
  <c r="D121" i="27"/>
  <c r="H120" i="27"/>
  <c r="G120" i="27"/>
  <c r="F120" i="27"/>
  <c r="E120" i="27"/>
  <c r="D120" i="27"/>
  <c r="H119" i="27"/>
  <c r="G119" i="27"/>
  <c r="F119" i="27"/>
  <c r="E119" i="27"/>
  <c r="D119" i="27"/>
  <c r="H118" i="27"/>
  <c r="G118" i="27"/>
  <c r="F118" i="27"/>
  <c r="E118" i="27"/>
  <c r="D118" i="27"/>
  <c r="H117" i="27"/>
  <c r="G117" i="27"/>
  <c r="F117" i="27"/>
  <c r="E117" i="27"/>
  <c r="D117" i="27"/>
  <c r="H116" i="27"/>
  <c r="G116" i="27"/>
  <c r="F116" i="27"/>
  <c r="E116" i="27"/>
  <c r="D116" i="27"/>
  <c r="H115" i="27"/>
  <c r="H138" i="27" s="1"/>
  <c r="AE7" i="27" s="1"/>
  <c r="AE10" i="27" s="1"/>
  <c r="G115" i="27"/>
  <c r="F115" i="27"/>
  <c r="E115" i="27"/>
  <c r="D115" i="27"/>
  <c r="W82" i="27"/>
  <c r="H82" i="27"/>
  <c r="G82" i="27"/>
  <c r="F82" i="27"/>
  <c r="E82" i="27"/>
  <c r="D82" i="27"/>
  <c r="H81" i="27"/>
  <c r="G81" i="27"/>
  <c r="F81" i="27"/>
  <c r="E81" i="27"/>
  <c r="D81" i="27"/>
  <c r="H80" i="27"/>
  <c r="G80" i="27"/>
  <c r="F80" i="27"/>
  <c r="D80" i="27"/>
  <c r="H79" i="27"/>
  <c r="G79" i="27"/>
  <c r="F79" i="27"/>
  <c r="E79" i="27"/>
  <c r="D79" i="27"/>
  <c r="W78" i="27"/>
  <c r="H78" i="27"/>
  <c r="G78" i="27"/>
  <c r="F78" i="27"/>
  <c r="E78" i="27"/>
  <c r="D78" i="27"/>
  <c r="H77" i="27"/>
  <c r="G77" i="27"/>
  <c r="F77" i="27"/>
  <c r="E77" i="27"/>
  <c r="D77" i="27"/>
  <c r="H76" i="27"/>
  <c r="G76" i="27"/>
  <c r="F76" i="27"/>
  <c r="E76" i="27"/>
  <c r="D76" i="27"/>
  <c r="H75" i="27"/>
  <c r="G75" i="27"/>
  <c r="F75" i="27"/>
  <c r="E75" i="27"/>
  <c r="D75" i="27"/>
  <c r="N74" i="27"/>
  <c r="H74" i="27"/>
  <c r="G74" i="27"/>
  <c r="F74" i="27"/>
  <c r="E74" i="27"/>
  <c r="D74" i="27"/>
  <c r="W73" i="27"/>
  <c r="H73" i="27"/>
  <c r="G73" i="27"/>
  <c r="F73" i="27"/>
  <c r="E73" i="27"/>
  <c r="D73" i="27"/>
  <c r="H72" i="27"/>
  <c r="G72" i="27"/>
  <c r="F72" i="27"/>
  <c r="E72" i="27"/>
  <c r="D72" i="27"/>
  <c r="V71" i="27"/>
  <c r="H71" i="27"/>
  <c r="G71" i="27"/>
  <c r="F71" i="27"/>
  <c r="E71" i="27"/>
  <c r="D71" i="27"/>
  <c r="M70" i="27"/>
  <c r="H70" i="27"/>
  <c r="G70" i="27"/>
  <c r="F70" i="27"/>
  <c r="E70" i="27"/>
  <c r="D70" i="27"/>
  <c r="H69" i="27"/>
  <c r="G69" i="27"/>
  <c r="F69" i="27"/>
  <c r="E69" i="27"/>
  <c r="D69" i="27"/>
  <c r="H68" i="27"/>
  <c r="G68" i="27"/>
  <c r="F68" i="27"/>
  <c r="E68" i="27"/>
  <c r="D68" i="27"/>
  <c r="H67" i="27"/>
  <c r="G67" i="27"/>
  <c r="F67" i="27"/>
  <c r="E67" i="27"/>
  <c r="D67" i="27"/>
  <c r="U66" i="27"/>
  <c r="S66" i="27"/>
  <c r="Q66" i="27"/>
  <c r="O66" i="27"/>
  <c r="M66" i="27"/>
  <c r="H66" i="27"/>
  <c r="G66" i="27"/>
  <c r="F66" i="27"/>
  <c r="E66" i="27"/>
  <c r="D66" i="27"/>
  <c r="U65" i="27"/>
  <c r="S65" i="27"/>
  <c r="Q65" i="27"/>
  <c r="O65" i="27"/>
  <c r="M65" i="27"/>
  <c r="H65" i="27"/>
  <c r="G65" i="27"/>
  <c r="F65" i="27"/>
  <c r="E65" i="27"/>
  <c r="D65" i="27"/>
  <c r="AA64" i="27"/>
  <c r="U64" i="27"/>
  <c r="R64" i="27"/>
  <c r="S64" i="27" s="1"/>
  <c r="Q64" i="27"/>
  <c r="P64" i="27"/>
  <c r="O64" i="27"/>
  <c r="M64" i="27"/>
  <c r="H64" i="27"/>
  <c r="G64" i="27"/>
  <c r="F64" i="27"/>
  <c r="E64" i="27"/>
  <c r="D64" i="27"/>
  <c r="AA63" i="27"/>
  <c r="AA65" i="27" s="1"/>
  <c r="H63" i="27"/>
  <c r="G63" i="27"/>
  <c r="F63" i="27"/>
  <c r="E63" i="27"/>
  <c r="D63" i="27"/>
  <c r="H62" i="27"/>
  <c r="G62" i="27"/>
  <c r="F62" i="27"/>
  <c r="E62" i="27"/>
  <c r="D62" i="27"/>
  <c r="H61" i="27"/>
  <c r="G61" i="27"/>
  <c r="F61" i="27"/>
  <c r="E61" i="27"/>
  <c r="D61" i="27"/>
  <c r="H60" i="27"/>
  <c r="G60" i="27"/>
  <c r="F60" i="27"/>
  <c r="E60" i="27"/>
  <c r="D60" i="27"/>
  <c r="H59" i="27"/>
  <c r="G59" i="27"/>
  <c r="F59" i="27"/>
  <c r="E59" i="27"/>
  <c r="D59" i="27"/>
  <c r="H58" i="27"/>
  <c r="G58" i="27"/>
  <c r="F58" i="27"/>
  <c r="E58" i="27"/>
  <c r="D58" i="27"/>
  <c r="H57" i="27"/>
  <c r="G57" i="27"/>
  <c r="F57" i="27"/>
  <c r="E57" i="27"/>
  <c r="D57" i="27"/>
  <c r="H56" i="27"/>
  <c r="G56" i="27"/>
  <c r="F56" i="27"/>
  <c r="E56" i="27"/>
  <c r="D56" i="27"/>
  <c r="H55" i="27"/>
  <c r="G55" i="27"/>
  <c r="G83" i="27" s="1"/>
  <c r="M20" i="27" s="1"/>
  <c r="F55" i="27"/>
  <c r="E55" i="27"/>
  <c r="D55" i="27"/>
  <c r="G54" i="27"/>
  <c r="F54" i="27"/>
  <c r="E54" i="27"/>
  <c r="D54" i="27"/>
  <c r="N53" i="27"/>
  <c r="O53" i="27" s="1"/>
  <c r="H53" i="27"/>
  <c r="G53" i="27"/>
  <c r="F53" i="27"/>
  <c r="F83" i="27" s="1"/>
  <c r="L20" i="27" s="1"/>
  <c r="V14" i="27" s="1"/>
  <c r="E53" i="27"/>
  <c r="D53" i="27"/>
  <c r="D83" i="27" s="1"/>
  <c r="J20" i="27" s="1"/>
  <c r="S16" i="27" s="1"/>
  <c r="O50" i="27"/>
  <c r="M50" i="27"/>
  <c r="Z48" i="27"/>
  <c r="Z47" i="27"/>
  <c r="V47" i="27"/>
  <c r="O47" i="27"/>
  <c r="E47" i="27"/>
  <c r="E80" i="27" s="1"/>
  <c r="U44" i="27"/>
  <c r="V43" i="27"/>
  <c r="R42" i="27"/>
  <c r="Q39" i="27"/>
  <c r="P39" i="27"/>
  <c r="O39" i="27"/>
  <c r="M38" i="27"/>
  <c r="M35" i="27"/>
  <c r="M34" i="27"/>
  <c r="M36" i="27" s="1"/>
  <c r="S27" i="27"/>
  <c r="E16" i="27"/>
  <c r="D16" i="27"/>
  <c r="V15" i="27"/>
  <c r="S15" i="27"/>
  <c r="S14" i="27"/>
  <c r="M12" i="27"/>
  <c r="M11" i="27"/>
  <c r="V48" i="27" s="1"/>
  <c r="V51" i="27" s="1"/>
  <c r="W51" i="27" s="1"/>
  <c r="M10" i="27"/>
  <c r="S13" i="27" s="1"/>
  <c r="M9" i="27"/>
  <c r="V8" i="27"/>
  <c r="M8" i="27"/>
  <c r="M28" i="27" s="1"/>
  <c r="D8" i="27"/>
  <c r="M7" i="27"/>
  <c r="M6" i="27"/>
  <c r="AA5" i="27"/>
  <c r="M5" i="27"/>
  <c r="AA4" i="27"/>
  <c r="S4" i="27"/>
  <c r="M4" i="27"/>
  <c r="P7" i="27" s="1"/>
  <c r="P39" i="16"/>
  <c r="Q39" i="16"/>
  <c r="O39" i="16"/>
  <c r="M34" i="16"/>
  <c r="M38" i="16"/>
  <c r="W82" i="16"/>
  <c r="W78" i="16"/>
  <c r="W73" i="16"/>
  <c r="L66" i="26"/>
  <c r="L52" i="26"/>
  <c r="D11" i="26"/>
  <c r="D13" i="26"/>
  <c r="M49" i="26"/>
  <c r="N49" i="26" s="1"/>
  <c r="M6" i="26"/>
  <c r="M7" i="26"/>
  <c r="F133" i="26"/>
  <c r="E133" i="26"/>
  <c r="D133" i="26"/>
  <c r="F132" i="26"/>
  <c r="E132" i="26"/>
  <c r="D132" i="26"/>
  <c r="F131" i="26"/>
  <c r="E131" i="26"/>
  <c r="D131" i="26"/>
  <c r="F130" i="26"/>
  <c r="E130" i="26"/>
  <c r="D130" i="26"/>
  <c r="F129" i="26"/>
  <c r="E129" i="26"/>
  <c r="D129" i="26"/>
  <c r="F128" i="26"/>
  <c r="E128" i="26"/>
  <c r="D128" i="26"/>
  <c r="F127" i="26"/>
  <c r="E127" i="26"/>
  <c r="D127" i="26"/>
  <c r="F126" i="26"/>
  <c r="E126" i="26"/>
  <c r="D126" i="26"/>
  <c r="F125" i="26"/>
  <c r="E125" i="26"/>
  <c r="D125" i="26"/>
  <c r="F124" i="26"/>
  <c r="E124" i="26"/>
  <c r="D124" i="26"/>
  <c r="F123" i="26"/>
  <c r="E123" i="26"/>
  <c r="D123" i="26"/>
  <c r="F122" i="26"/>
  <c r="E122" i="26"/>
  <c r="D122" i="26"/>
  <c r="F121" i="26"/>
  <c r="E121" i="26"/>
  <c r="D121" i="26"/>
  <c r="F120" i="26"/>
  <c r="E120" i="26"/>
  <c r="D120" i="26"/>
  <c r="F119" i="26"/>
  <c r="E119" i="26"/>
  <c r="D119" i="26"/>
  <c r="F118" i="26"/>
  <c r="E118" i="26"/>
  <c r="D118" i="26"/>
  <c r="F117" i="26"/>
  <c r="E117" i="26"/>
  <c r="D117" i="26"/>
  <c r="F116" i="26"/>
  <c r="E116" i="26"/>
  <c r="D116" i="26"/>
  <c r="F115" i="26"/>
  <c r="E115" i="26"/>
  <c r="D115" i="26"/>
  <c r="F114" i="26"/>
  <c r="E114" i="26"/>
  <c r="D114" i="26"/>
  <c r="F113" i="26"/>
  <c r="E113" i="26"/>
  <c r="D113" i="26"/>
  <c r="F112" i="26"/>
  <c r="E112" i="26"/>
  <c r="D112" i="26"/>
  <c r="F111" i="26"/>
  <c r="E111" i="26"/>
  <c r="D111" i="26"/>
  <c r="F110" i="26"/>
  <c r="E110" i="26"/>
  <c r="D110" i="26"/>
  <c r="F109" i="26"/>
  <c r="E109" i="26"/>
  <c r="D109" i="26"/>
  <c r="H74" i="26"/>
  <c r="G74" i="26"/>
  <c r="F74" i="26"/>
  <c r="E74" i="26"/>
  <c r="D74" i="26"/>
  <c r="H73" i="26"/>
  <c r="G73" i="26"/>
  <c r="F73" i="26"/>
  <c r="E73" i="26"/>
  <c r="D73" i="26"/>
  <c r="H72" i="26"/>
  <c r="G72" i="26"/>
  <c r="F72" i="26"/>
  <c r="D72" i="26"/>
  <c r="H71" i="26"/>
  <c r="G71" i="26"/>
  <c r="F71" i="26"/>
  <c r="E71" i="26"/>
  <c r="D71" i="26"/>
  <c r="M70" i="26"/>
  <c r="H70" i="26"/>
  <c r="G70" i="26"/>
  <c r="F70" i="26"/>
  <c r="E70" i="26"/>
  <c r="D70" i="26"/>
  <c r="H69" i="26"/>
  <c r="G69" i="26"/>
  <c r="F69" i="26"/>
  <c r="E69" i="26"/>
  <c r="D69" i="26"/>
  <c r="H68" i="26"/>
  <c r="G68" i="26"/>
  <c r="F68" i="26"/>
  <c r="E68" i="26"/>
  <c r="D68" i="26"/>
  <c r="H67" i="26"/>
  <c r="G67" i="26"/>
  <c r="F67" i="26"/>
  <c r="E67" i="26"/>
  <c r="D67" i="26"/>
  <c r="H66" i="26"/>
  <c r="G66" i="26"/>
  <c r="F66" i="26"/>
  <c r="E66" i="26"/>
  <c r="D66" i="26"/>
  <c r="H65" i="26"/>
  <c r="G65" i="26"/>
  <c r="F65" i="26"/>
  <c r="E65" i="26"/>
  <c r="D65" i="26"/>
  <c r="H64" i="26"/>
  <c r="G64" i="26"/>
  <c r="F64" i="26"/>
  <c r="E64" i="26"/>
  <c r="D64" i="26"/>
  <c r="H63" i="26"/>
  <c r="G63" i="26"/>
  <c r="F63" i="26"/>
  <c r="E63" i="26"/>
  <c r="D63" i="26"/>
  <c r="H62" i="26"/>
  <c r="G62" i="26"/>
  <c r="F62" i="26"/>
  <c r="E62" i="26"/>
  <c r="D62" i="26"/>
  <c r="H61" i="26"/>
  <c r="G61" i="26"/>
  <c r="F61" i="26"/>
  <c r="E61" i="26"/>
  <c r="D61" i="26"/>
  <c r="H60" i="26"/>
  <c r="G60" i="26"/>
  <c r="F60" i="26"/>
  <c r="E60" i="26"/>
  <c r="D60" i="26"/>
  <c r="H59" i="26"/>
  <c r="G59" i="26"/>
  <c r="F59" i="26"/>
  <c r="E59" i="26"/>
  <c r="D59" i="26"/>
  <c r="H58" i="26"/>
  <c r="G58" i="26"/>
  <c r="F58" i="26"/>
  <c r="E58" i="26"/>
  <c r="D58" i="26"/>
  <c r="H57" i="26"/>
  <c r="G57" i="26"/>
  <c r="F57" i="26"/>
  <c r="E57" i="26"/>
  <c r="D57" i="26"/>
  <c r="H56" i="26"/>
  <c r="G56" i="26"/>
  <c r="F56" i="26"/>
  <c r="E56" i="26"/>
  <c r="D56" i="26"/>
  <c r="N55" i="26"/>
  <c r="H55" i="26"/>
  <c r="G55" i="26"/>
  <c r="F55" i="26"/>
  <c r="E55" i="26"/>
  <c r="D55" i="26"/>
  <c r="H54" i="26"/>
  <c r="G54" i="26"/>
  <c r="F54" i="26"/>
  <c r="E54" i="26"/>
  <c r="D54" i="26"/>
  <c r="H53" i="26"/>
  <c r="G53" i="26"/>
  <c r="F53" i="26"/>
  <c r="E53" i="26"/>
  <c r="D53" i="26"/>
  <c r="H52" i="26"/>
  <c r="G52" i="26"/>
  <c r="F52" i="26"/>
  <c r="E52" i="26"/>
  <c r="D52" i="26"/>
  <c r="H51" i="26"/>
  <c r="G51" i="26"/>
  <c r="F51" i="26"/>
  <c r="E51" i="26"/>
  <c r="D51" i="26"/>
  <c r="G50" i="26"/>
  <c r="F50" i="26"/>
  <c r="F75" i="26" s="1"/>
  <c r="L20" i="26" s="1"/>
  <c r="V14" i="26" s="1"/>
  <c r="E50" i="26"/>
  <c r="D50" i="26"/>
  <c r="D75" i="26" s="1"/>
  <c r="J20" i="26" s="1"/>
  <c r="H49" i="26"/>
  <c r="G49" i="26"/>
  <c r="G75" i="26" s="1"/>
  <c r="M20" i="26" s="1"/>
  <c r="F49" i="26"/>
  <c r="E49" i="26"/>
  <c r="D49" i="26"/>
  <c r="Q45" i="26"/>
  <c r="E43" i="26"/>
  <c r="E72" i="26" s="1"/>
  <c r="M34" i="26"/>
  <c r="S27" i="26"/>
  <c r="N26" i="26"/>
  <c r="D16" i="26"/>
  <c r="Y15" i="26"/>
  <c r="M12" i="26"/>
  <c r="M11" i="26"/>
  <c r="Y13" i="26" s="1"/>
  <c r="M10" i="26"/>
  <c r="S13" i="26" s="1"/>
  <c r="M9" i="26"/>
  <c r="M8" i="26"/>
  <c r="M74" i="26" s="1"/>
  <c r="V6" i="26"/>
  <c r="V8" i="26" s="1"/>
  <c r="V10" i="26" s="1"/>
  <c r="AA5" i="26"/>
  <c r="M5" i="26"/>
  <c r="AA4" i="26"/>
  <c r="S4" i="26"/>
  <c r="M4" i="26"/>
  <c r="P7" i="26" s="1"/>
  <c r="L90" i="28" l="1"/>
  <c r="P4" i="28" s="1"/>
  <c r="R84" i="29"/>
  <c r="U27" i="29"/>
  <c r="U26" i="29"/>
  <c r="U25" i="29"/>
  <c r="U24" i="29"/>
  <c r="U23" i="29"/>
  <c r="S84" i="29"/>
  <c r="S85" i="29" s="1"/>
  <c r="M96" i="29"/>
  <c r="M95" i="29"/>
  <c r="U37" i="29"/>
  <c r="U36" i="29"/>
  <c r="U35" i="29"/>
  <c r="U34" i="29"/>
  <c r="U32" i="29"/>
  <c r="U33" i="29"/>
  <c r="M27" i="29"/>
  <c r="M53" i="29"/>
  <c r="M26" i="29"/>
  <c r="AE11" i="28"/>
  <c r="N60" i="28" s="1"/>
  <c r="O60" i="28" s="1"/>
  <c r="P60" i="28" s="1"/>
  <c r="N70" i="27"/>
  <c r="M59" i="28"/>
  <c r="M61" i="28"/>
  <c r="P7" i="28"/>
  <c r="S16" i="28"/>
  <c r="S18" i="28" s="1"/>
  <c r="AA8" i="28"/>
  <c r="AA10" i="28" s="1"/>
  <c r="M92" i="28" s="1"/>
  <c r="V16" i="28"/>
  <c r="I37" i="28" s="1"/>
  <c r="P10" i="28"/>
  <c r="Y16" i="28"/>
  <c r="Y18" i="28" s="1"/>
  <c r="F138" i="27"/>
  <c r="N88" i="27" s="1"/>
  <c r="F16" i="27"/>
  <c r="D138" i="27"/>
  <c r="L88" i="27" s="1"/>
  <c r="P4" i="27" s="1"/>
  <c r="E138" i="27"/>
  <c r="M88" i="27" s="1"/>
  <c r="P5" i="27" s="1"/>
  <c r="G138" i="27"/>
  <c r="AE6" i="27" s="1"/>
  <c r="AE11" i="27" s="1"/>
  <c r="N60" i="27" s="1"/>
  <c r="S18" i="27"/>
  <c r="S20" i="27" s="1"/>
  <c r="Y13" i="27"/>
  <c r="E83" i="27"/>
  <c r="K20" i="27" s="1"/>
  <c r="M61" i="27"/>
  <c r="M60" i="27"/>
  <c r="M59" i="27"/>
  <c r="M75" i="27"/>
  <c r="N75" i="27" s="1"/>
  <c r="P9" i="27"/>
  <c r="V13" i="27"/>
  <c r="E134" i="26"/>
  <c r="K79" i="26" s="1"/>
  <c r="AA8" i="26" s="1"/>
  <c r="AA10" i="26" s="1"/>
  <c r="F134" i="26"/>
  <c r="L79" i="26" s="1"/>
  <c r="D134" i="26"/>
  <c r="J79" i="26" s="1"/>
  <c r="P4" i="26" s="1"/>
  <c r="V13" i="26"/>
  <c r="V15" i="26" s="1"/>
  <c r="V17" i="26" s="1"/>
  <c r="E16" i="26"/>
  <c r="F16" i="26" s="1"/>
  <c r="F11" i="26"/>
  <c r="S16" i="26"/>
  <c r="S18" i="26" s="1"/>
  <c r="P9" i="26"/>
  <c r="E75" i="26"/>
  <c r="K20" i="26" s="1"/>
  <c r="Y16" i="26" s="1"/>
  <c r="Y18" i="26" s="1"/>
  <c r="U65" i="16"/>
  <c r="U66" i="16"/>
  <c r="U64" i="16"/>
  <c r="S65" i="16"/>
  <c r="S66" i="16"/>
  <c r="S64" i="16"/>
  <c r="R64" i="16"/>
  <c r="Q65" i="16"/>
  <c r="Q66" i="16"/>
  <c r="Q64" i="16"/>
  <c r="P64" i="16"/>
  <c r="O65" i="16"/>
  <c r="O66" i="16"/>
  <c r="M64" i="16"/>
  <c r="O64" i="16"/>
  <c r="M65" i="16"/>
  <c r="M66" i="16"/>
  <c r="H116" i="16"/>
  <c r="H117" i="16"/>
  <c r="H118" i="16"/>
  <c r="H119" i="16"/>
  <c r="H120" i="16"/>
  <c r="H121" i="16"/>
  <c r="H122" i="16"/>
  <c r="H123" i="16"/>
  <c r="H124" i="16"/>
  <c r="H125" i="16"/>
  <c r="H126" i="16"/>
  <c r="H127" i="16"/>
  <c r="H128" i="16"/>
  <c r="H129" i="16"/>
  <c r="H130" i="16"/>
  <c r="H131" i="16"/>
  <c r="H132" i="16"/>
  <c r="H133" i="16"/>
  <c r="H134" i="16"/>
  <c r="H135" i="16"/>
  <c r="H136" i="16"/>
  <c r="H137" i="16"/>
  <c r="H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F116" i="16"/>
  <c r="F117" i="16"/>
  <c r="F118" i="16"/>
  <c r="F119" i="16"/>
  <c r="F120" i="16"/>
  <c r="F121" i="16"/>
  <c r="F122" i="16"/>
  <c r="F123" i="16"/>
  <c r="F124" i="16"/>
  <c r="F125" i="16"/>
  <c r="F126" i="16"/>
  <c r="F127" i="16"/>
  <c r="F128" i="16"/>
  <c r="F129" i="16"/>
  <c r="F130" i="16"/>
  <c r="F131" i="16"/>
  <c r="F132" i="16"/>
  <c r="F133" i="16"/>
  <c r="F134" i="16"/>
  <c r="F135" i="16"/>
  <c r="F136" i="16"/>
  <c r="F137" i="16"/>
  <c r="G115" i="16"/>
  <c r="F115" i="16"/>
  <c r="S20" i="28" l="1"/>
  <c r="S21" i="28"/>
  <c r="U27" i="28" s="1"/>
  <c r="S6" i="28"/>
  <c r="S10" i="28" s="1"/>
  <c r="AF23" i="29"/>
  <c r="AH23" i="29" s="1"/>
  <c r="AD23" i="29"/>
  <c r="V23" i="29"/>
  <c r="Y23" i="29"/>
  <c r="AF24" i="29"/>
  <c r="AH24" i="29" s="1"/>
  <c r="AD24" i="29"/>
  <c r="V24" i="29"/>
  <c r="Y24" i="29"/>
  <c r="AB24" i="29" s="1"/>
  <c r="AD37" i="29"/>
  <c r="AF37" i="29"/>
  <c r="AH37" i="29" s="1"/>
  <c r="V37" i="29"/>
  <c r="Y37" i="29"/>
  <c r="M71" i="29"/>
  <c r="N71" i="29" s="1"/>
  <c r="AF27" i="29"/>
  <c r="AH27" i="29" s="1"/>
  <c r="AD27" i="29"/>
  <c r="Y27" i="29"/>
  <c r="V27" i="29"/>
  <c r="AF33" i="29"/>
  <c r="AH33" i="29" s="1"/>
  <c r="AD33" i="29"/>
  <c r="Y33" i="29"/>
  <c r="AB33" i="29" s="1"/>
  <c r="V33" i="29"/>
  <c r="AD32" i="29"/>
  <c r="AF32" i="29"/>
  <c r="AH32" i="29" s="1"/>
  <c r="V32" i="29"/>
  <c r="Y32" i="29"/>
  <c r="AF35" i="29"/>
  <c r="AH35" i="29" s="1"/>
  <c r="AD35" i="29"/>
  <c r="V35" i="29"/>
  <c r="Y35" i="29"/>
  <c r="AB35" i="29" s="1"/>
  <c r="AF36" i="29"/>
  <c r="AH36" i="29" s="1"/>
  <c r="AD36" i="29"/>
  <c r="V36" i="29"/>
  <c r="Y36" i="29"/>
  <c r="AB36" i="29" s="1"/>
  <c r="AF25" i="29"/>
  <c r="AH25" i="29" s="1"/>
  <c r="AD25" i="29"/>
  <c r="V25" i="29"/>
  <c r="Y25" i="29"/>
  <c r="AB25" i="29" s="1"/>
  <c r="AF26" i="29"/>
  <c r="AH26" i="29" s="1"/>
  <c r="AD26" i="29"/>
  <c r="Y26" i="29"/>
  <c r="AB26" i="29" s="1"/>
  <c r="V26" i="29"/>
  <c r="M25" i="29"/>
  <c r="M30" i="29" s="1"/>
  <c r="M39" i="29" s="1"/>
  <c r="M29" i="29"/>
  <c r="M47" i="29"/>
  <c r="M69" i="29" s="1"/>
  <c r="AF34" i="29"/>
  <c r="AH34" i="29" s="1"/>
  <c r="AD34" i="29"/>
  <c r="Y34" i="29"/>
  <c r="AB34" i="29" s="1"/>
  <c r="V34" i="29"/>
  <c r="S86" i="29"/>
  <c r="T86" i="29" s="1"/>
  <c r="T85" i="29"/>
  <c r="U85" i="29" s="1"/>
  <c r="N59" i="28"/>
  <c r="O59" i="28" s="1"/>
  <c r="P59" i="28" s="1"/>
  <c r="N61" i="28"/>
  <c r="O61" i="28" s="1"/>
  <c r="P61" i="28" s="1"/>
  <c r="S6" i="27"/>
  <c r="S10" i="27" s="1"/>
  <c r="M76" i="27" s="1"/>
  <c r="Y20" i="28"/>
  <c r="V18" i="28"/>
  <c r="N59" i="27"/>
  <c r="O59" i="27" s="1"/>
  <c r="P59" i="27" s="1"/>
  <c r="N61" i="27"/>
  <c r="O61" i="27" s="1"/>
  <c r="P61" i="27" s="1"/>
  <c r="AA8" i="27"/>
  <c r="AA10" i="27" s="1"/>
  <c r="M90" i="27" s="1"/>
  <c r="O60" i="27"/>
  <c r="P60" i="27" s="1"/>
  <c r="S8" i="27"/>
  <c r="R84" i="27"/>
  <c r="U23" i="27"/>
  <c r="U26" i="27"/>
  <c r="U27" i="27"/>
  <c r="U24" i="27"/>
  <c r="S84" i="27"/>
  <c r="S85" i="27" s="1"/>
  <c r="U25" i="27"/>
  <c r="P10" i="27"/>
  <c r="Y16" i="27"/>
  <c r="V16" i="27"/>
  <c r="I37" i="27" s="1"/>
  <c r="K81" i="26"/>
  <c r="K90" i="26" s="1"/>
  <c r="M75" i="26"/>
  <c r="S6" i="26"/>
  <c r="S8" i="26" s="1"/>
  <c r="E13" i="26" s="1"/>
  <c r="P5" i="26"/>
  <c r="AA12" i="26"/>
  <c r="H21" i="26"/>
  <c r="H50" i="26" s="1"/>
  <c r="H75" i="26" s="1"/>
  <c r="N20" i="26" s="1"/>
  <c r="P8" i="26" s="1"/>
  <c r="Y20" i="26"/>
  <c r="S20" i="26"/>
  <c r="P10" i="26"/>
  <c r="H138" i="16"/>
  <c r="AE10" i="16" s="1"/>
  <c r="M61" i="16" s="1"/>
  <c r="G138" i="16"/>
  <c r="AE6" i="16" s="1"/>
  <c r="AE11" i="16" s="1"/>
  <c r="M73" i="4"/>
  <c r="M76" i="28" l="1"/>
  <c r="N76" i="28" s="1"/>
  <c r="S84" i="28"/>
  <c r="S85" i="28" s="1"/>
  <c r="U23" i="28"/>
  <c r="AF23" i="28" s="1"/>
  <c r="AH23" i="28" s="1"/>
  <c r="R84" i="28"/>
  <c r="AB85" i="28"/>
  <c r="U24" i="28"/>
  <c r="AD24" i="28" s="1"/>
  <c r="U26" i="28"/>
  <c r="AD26" i="28" s="1"/>
  <c r="AF27" i="28"/>
  <c r="AH27" i="28" s="1"/>
  <c r="U25" i="28"/>
  <c r="AD25" i="28" s="1"/>
  <c r="E14" i="28"/>
  <c r="F14" i="28" s="1"/>
  <c r="M57" i="28"/>
  <c r="E8" i="28"/>
  <c r="F8" i="28" s="1"/>
  <c r="S8" i="28"/>
  <c r="M100" i="28"/>
  <c r="M101" i="28" s="1"/>
  <c r="N77" i="28" s="1"/>
  <c r="M96" i="28"/>
  <c r="M98" i="28" s="1"/>
  <c r="V86" i="29"/>
  <c r="AB32" i="29"/>
  <c r="Z32" i="29"/>
  <c r="AB27" i="29"/>
  <c r="Z27" i="29"/>
  <c r="N69" i="29"/>
  <c r="N73" i="29" s="1"/>
  <c r="N78" i="29" s="1"/>
  <c r="M73" i="29"/>
  <c r="M78" i="29" s="1"/>
  <c r="M55" i="29"/>
  <c r="M56" i="29" s="1"/>
  <c r="Z37" i="29"/>
  <c r="AB37" i="29"/>
  <c r="AB23" i="29"/>
  <c r="Z23" i="29"/>
  <c r="M98" i="27"/>
  <c r="M99" i="27" s="1"/>
  <c r="N77" i="27" s="1"/>
  <c r="M94" i="27"/>
  <c r="M96" i="27" s="1"/>
  <c r="E14" i="27"/>
  <c r="F14" i="27" s="1"/>
  <c r="E8" i="27"/>
  <c r="F8" i="27" s="1"/>
  <c r="M26" i="27" s="1"/>
  <c r="M57" i="27"/>
  <c r="U35" i="28"/>
  <c r="V35" i="28" s="1"/>
  <c r="U32" i="28"/>
  <c r="V32" i="28" s="1"/>
  <c r="U33" i="28"/>
  <c r="Y33" i="28" s="1"/>
  <c r="AB33" i="28" s="1"/>
  <c r="U36" i="28"/>
  <c r="U34" i="28"/>
  <c r="Y34" i="28" s="1"/>
  <c r="AB34" i="28" s="1"/>
  <c r="U37" i="28"/>
  <c r="Y37" i="28" s="1"/>
  <c r="H21" i="28"/>
  <c r="H55" i="28" s="1"/>
  <c r="H85" i="28" s="1"/>
  <c r="N20" i="28" s="1"/>
  <c r="P8" i="28" s="1"/>
  <c r="AF25" i="27"/>
  <c r="AH25" i="27" s="1"/>
  <c r="AD25" i="27"/>
  <c r="S86" i="27"/>
  <c r="T86" i="27" s="1"/>
  <c r="T85" i="27"/>
  <c r="U85" i="27" s="1"/>
  <c r="AF27" i="27"/>
  <c r="AH27" i="27" s="1"/>
  <c r="AD27" i="27"/>
  <c r="V18" i="27"/>
  <c r="AF24" i="27"/>
  <c r="AH24" i="27" s="1"/>
  <c r="AD24" i="27"/>
  <c r="AF26" i="27"/>
  <c r="AH26" i="27" s="1"/>
  <c r="AD26" i="27"/>
  <c r="M27" i="27"/>
  <c r="M53" i="27"/>
  <c r="AF23" i="27"/>
  <c r="AH23" i="27" s="1"/>
  <c r="AD23" i="27"/>
  <c r="Y18" i="27"/>
  <c r="K96" i="26"/>
  <c r="K99" i="26" s="1"/>
  <c r="M66" i="26"/>
  <c r="S9" i="26"/>
  <c r="S10" i="26" s="1"/>
  <c r="D8" i="26" s="1"/>
  <c r="F8" i="26" s="1"/>
  <c r="U34" i="26"/>
  <c r="U36" i="26"/>
  <c r="U32" i="26"/>
  <c r="U37" i="26"/>
  <c r="U33" i="26"/>
  <c r="U35" i="26"/>
  <c r="U27" i="26"/>
  <c r="U25" i="26"/>
  <c r="U23" i="26"/>
  <c r="U26" i="26"/>
  <c r="U24" i="26"/>
  <c r="F13" i="26"/>
  <c r="M60" i="16"/>
  <c r="M59" i="16"/>
  <c r="N59" i="16"/>
  <c r="N60" i="16"/>
  <c r="N61" i="16"/>
  <c r="O61" i="16" s="1"/>
  <c r="P61" i="16" s="1"/>
  <c r="Y15" i="20"/>
  <c r="U44" i="16"/>
  <c r="V43" i="16"/>
  <c r="V47" i="16" s="1"/>
  <c r="Y15" i="21"/>
  <c r="Y25" i="28" l="1"/>
  <c r="AB25" i="28" s="1"/>
  <c r="V27" i="28"/>
  <c r="Y27" i="28"/>
  <c r="AB27" i="28" s="1"/>
  <c r="AF25" i="28"/>
  <c r="AH25" i="28" s="1"/>
  <c r="V26" i="28"/>
  <c r="AD27" i="28"/>
  <c r="Y26" i="28"/>
  <c r="AB26" i="28" s="1"/>
  <c r="V25" i="28"/>
  <c r="AF26" i="28"/>
  <c r="AH26" i="28" s="1"/>
  <c r="V23" i="28"/>
  <c r="S86" i="28"/>
  <c r="T86" i="28" s="1"/>
  <c r="T85" i="28"/>
  <c r="U85" i="28" s="1"/>
  <c r="Y23" i="28"/>
  <c r="Z23" i="28" s="1"/>
  <c r="V24" i="28"/>
  <c r="Y24" i="28"/>
  <c r="AB24" i="28" s="1"/>
  <c r="AD23" i="28"/>
  <c r="AF24" i="28"/>
  <c r="AH24" i="28" s="1"/>
  <c r="M26" i="28"/>
  <c r="AB83" i="28"/>
  <c r="AB87" i="28" s="1"/>
  <c r="M53" i="28"/>
  <c r="M71" i="28" s="1"/>
  <c r="N71" i="28" s="1"/>
  <c r="AB84" i="28"/>
  <c r="M97" i="28"/>
  <c r="M25" i="28" s="1"/>
  <c r="M27" i="28"/>
  <c r="T60" i="29"/>
  <c r="T59" i="29"/>
  <c r="T61" i="29"/>
  <c r="Q59" i="29"/>
  <c r="Q61" i="29"/>
  <c r="Q60" i="29"/>
  <c r="M95" i="27"/>
  <c r="M25" i="27" s="1"/>
  <c r="M30" i="27" s="1"/>
  <c r="M39" i="27" s="1"/>
  <c r="Y32" i="28"/>
  <c r="AB32" i="28" s="1"/>
  <c r="V37" i="28"/>
  <c r="V34" i="28"/>
  <c r="AF36" i="28"/>
  <c r="AH36" i="28" s="1"/>
  <c r="AD36" i="28"/>
  <c r="AF33" i="28"/>
  <c r="AH33" i="28" s="1"/>
  <c r="AD33" i="28"/>
  <c r="AD32" i="28"/>
  <c r="AF32" i="28"/>
  <c r="AH32" i="28" s="1"/>
  <c r="AF35" i="28"/>
  <c r="AH35" i="28" s="1"/>
  <c r="AD35" i="28"/>
  <c r="Y35" i="28"/>
  <c r="AB35" i="28" s="1"/>
  <c r="V33" i="28"/>
  <c r="Y36" i="28"/>
  <c r="AB36" i="28" s="1"/>
  <c r="V36" i="28"/>
  <c r="AB37" i="28"/>
  <c r="Z37" i="28"/>
  <c r="AD37" i="28"/>
  <c r="AF37" i="28"/>
  <c r="AH37" i="28" s="1"/>
  <c r="AF34" i="28"/>
  <c r="AH34" i="28" s="1"/>
  <c r="AD34" i="28"/>
  <c r="V86" i="27"/>
  <c r="Y20" i="27"/>
  <c r="V26" i="27"/>
  <c r="Y27" i="27"/>
  <c r="V24" i="27"/>
  <c r="H21" i="27"/>
  <c r="H54" i="27" s="1"/>
  <c r="H83" i="27" s="1"/>
  <c r="N20" i="27" s="1"/>
  <c r="P8" i="27" s="1"/>
  <c r="V27" i="27"/>
  <c r="Y26" i="27"/>
  <c r="AB26" i="27" s="1"/>
  <c r="Y25" i="27"/>
  <c r="AB25" i="27" s="1"/>
  <c r="Y24" i="27"/>
  <c r="AB24" i="27" s="1"/>
  <c r="Y23" i="27"/>
  <c r="V25" i="27"/>
  <c r="V23" i="27"/>
  <c r="M71" i="27"/>
  <c r="N71" i="27" s="1"/>
  <c r="N23" i="26"/>
  <c r="L49" i="26"/>
  <c r="L65" i="26" s="1"/>
  <c r="M65" i="26" s="1"/>
  <c r="V25" i="26"/>
  <c r="Y25" i="26"/>
  <c r="Y27" i="26"/>
  <c r="Z27" i="26" s="1"/>
  <c r="V27" i="26"/>
  <c r="K97" i="26"/>
  <c r="K98" i="26" s="1"/>
  <c r="K101" i="26" s="1"/>
  <c r="M71" i="26" s="1"/>
  <c r="N36" i="26"/>
  <c r="N38" i="26" s="1"/>
  <c r="K89" i="26"/>
  <c r="K91" i="26" s="1"/>
  <c r="K93" i="26" s="1"/>
  <c r="K85" i="26"/>
  <c r="N35" i="26"/>
  <c r="N37" i="26" s="1"/>
  <c r="V35" i="26"/>
  <c r="Y35" i="26"/>
  <c r="L55" i="26"/>
  <c r="L67" i="26" s="1"/>
  <c r="N25" i="26"/>
  <c r="V33" i="26"/>
  <c r="Y33" i="26"/>
  <c r="Y37" i="26"/>
  <c r="Z37" i="26" s="1"/>
  <c r="V37" i="26"/>
  <c r="V24" i="26"/>
  <c r="Y24" i="26"/>
  <c r="V32" i="26"/>
  <c r="Y32" i="26"/>
  <c r="Z32" i="26" s="1"/>
  <c r="V26" i="26"/>
  <c r="Y26" i="26"/>
  <c r="Y36" i="26"/>
  <c r="V36" i="26"/>
  <c r="Y23" i="26"/>
  <c r="Z23" i="26" s="1"/>
  <c r="V23" i="26"/>
  <c r="V34" i="26"/>
  <c r="Y34" i="26"/>
  <c r="O60" i="16"/>
  <c r="P60" i="16" s="1"/>
  <c r="O59" i="16"/>
  <c r="P59" i="16" s="1"/>
  <c r="T65" i="20"/>
  <c r="Q67" i="20"/>
  <c r="V4" i="24"/>
  <c r="F133" i="24"/>
  <c r="E133" i="24"/>
  <c r="D133" i="24"/>
  <c r="F132" i="24"/>
  <c r="E132" i="24"/>
  <c r="D132" i="24"/>
  <c r="F131" i="24"/>
  <c r="E131" i="24"/>
  <c r="D131" i="24"/>
  <c r="F130" i="24"/>
  <c r="E130" i="24"/>
  <c r="D130" i="24"/>
  <c r="F129" i="24"/>
  <c r="E129" i="24"/>
  <c r="D129" i="24"/>
  <c r="F128" i="24"/>
  <c r="E128" i="24"/>
  <c r="D128" i="24"/>
  <c r="F127" i="24"/>
  <c r="E127" i="24"/>
  <c r="D127" i="24"/>
  <c r="F126" i="24"/>
  <c r="E126" i="24"/>
  <c r="D126" i="24"/>
  <c r="F125" i="24"/>
  <c r="E125" i="24"/>
  <c r="D125" i="24"/>
  <c r="F124" i="24"/>
  <c r="E124" i="24"/>
  <c r="D124" i="24"/>
  <c r="F123" i="24"/>
  <c r="E123" i="24"/>
  <c r="D123" i="24"/>
  <c r="F122" i="24"/>
  <c r="E122" i="24"/>
  <c r="D122" i="24"/>
  <c r="F121" i="24"/>
  <c r="E121" i="24"/>
  <c r="D121" i="24"/>
  <c r="F120" i="24"/>
  <c r="E120" i="24"/>
  <c r="D120" i="24"/>
  <c r="F119" i="24"/>
  <c r="E119" i="24"/>
  <c r="D119" i="24"/>
  <c r="F118" i="24"/>
  <c r="E118" i="24"/>
  <c r="D118" i="24"/>
  <c r="F117" i="24"/>
  <c r="E117" i="24"/>
  <c r="D117" i="24"/>
  <c r="F116" i="24"/>
  <c r="E116" i="24"/>
  <c r="D116" i="24"/>
  <c r="F115" i="24"/>
  <c r="E115" i="24"/>
  <c r="D115" i="24"/>
  <c r="F114" i="24"/>
  <c r="E114" i="24"/>
  <c r="D114" i="24"/>
  <c r="F113" i="24"/>
  <c r="E113" i="24"/>
  <c r="D113" i="24"/>
  <c r="F112" i="24"/>
  <c r="E112" i="24"/>
  <c r="D112" i="24"/>
  <c r="F111" i="24"/>
  <c r="E111" i="24"/>
  <c r="D111" i="24"/>
  <c r="F110" i="24"/>
  <c r="E110" i="24"/>
  <c r="D110" i="24"/>
  <c r="F109" i="24"/>
  <c r="F134" i="24" s="1"/>
  <c r="L79" i="24" s="1"/>
  <c r="E109" i="24"/>
  <c r="E134" i="24" s="1"/>
  <c r="K79" i="24" s="1"/>
  <c r="D109" i="24"/>
  <c r="D134" i="24" s="1"/>
  <c r="J79" i="24" s="1"/>
  <c r="H74" i="24"/>
  <c r="G74" i="24"/>
  <c r="F74" i="24"/>
  <c r="E74" i="24"/>
  <c r="D74" i="24"/>
  <c r="H73" i="24"/>
  <c r="G73" i="24"/>
  <c r="F73" i="24"/>
  <c r="E73" i="24"/>
  <c r="D73" i="24"/>
  <c r="H72" i="24"/>
  <c r="G72" i="24"/>
  <c r="F72" i="24"/>
  <c r="D72" i="24"/>
  <c r="H71" i="24"/>
  <c r="G71" i="24"/>
  <c r="F71" i="24"/>
  <c r="E71" i="24"/>
  <c r="D71" i="24"/>
  <c r="M70" i="24"/>
  <c r="H70" i="24"/>
  <c r="G70" i="24"/>
  <c r="F70" i="24"/>
  <c r="E70" i="24"/>
  <c r="D70" i="24"/>
  <c r="H69" i="24"/>
  <c r="G69" i="24"/>
  <c r="F69" i="24"/>
  <c r="E69" i="24"/>
  <c r="D69" i="24"/>
  <c r="H68" i="24"/>
  <c r="G68" i="24"/>
  <c r="F68" i="24"/>
  <c r="E68" i="24"/>
  <c r="D68" i="24"/>
  <c r="H67" i="24"/>
  <c r="G67" i="24"/>
  <c r="F67" i="24"/>
  <c r="E67" i="24"/>
  <c r="D67" i="24"/>
  <c r="H66" i="24"/>
  <c r="G66" i="24"/>
  <c r="F66" i="24"/>
  <c r="E66" i="24"/>
  <c r="D66" i="24"/>
  <c r="H65" i="24"/>
  <c r="G65" i="24"/>
  <c r="F65" i="24"/>
  <c r="E65" i="24"/>
  <c r="D65" i="24"/>
  <c r="H64" i="24"/>
  <c r="G64" i="24"/>
  <c r="F64" i="24"/>
  <c r="E64" i="24"/>
  <c r="D64" i="24"/>
  <c r="H63" i="24"/>
  <c r="G63" i="24"/>
  <c r="F63" i="24"/>
  <c r="E63" i="24"/>
  <c r="D63" i="24"/>
  <c r="H62" i="24"/>
  <c r="G62" i="24"/>
  <c r="F62" i="24"/>
  <c r="E62" i="24"/>
  <c r="D62" i="24"/>
  <c r="H61" i="24"/>
  <c r="G61" i="24"/>
  <c r="F61" i="24"/>
  <c r="E61" i="24"/>
  <c r="D61" i="24"/>
  <c r="H60" i="24"/>
  <c r="G60" i="24"/>
  <c r="F60" i="24"/>
  <c r="E60" i="24"/>
  <c r="D60" i="24"/>
  <c r="H59" i="24"/>
  <c r="G59" i="24"/>
  <c r="F59" i="24"/>
  <c r="E59" i="24"/>
  <c r="D59" i="24"/>
  <c r="H58" i="24"/>
  <c r="G58" i="24"/>
  <c r="F58" i="24"/>
  <c r="E58" i="24"/>
  <c r="D58" i="24"/>
  <c r="H57" i="24"/>
  <c r="G57" i="24"/>
  <c r="F57" i="24"/>
  <c r="E57" i="24"/>
  <c r="D57" i="24"/>
  <c r="H56" i="24"/>
  <c r="G56" i="24"/>
  <c r="F56" i="24"/>
  <c r="E56" i="24"/>
  <c r="D56" i="24"/>
  <c r="M55" i="24"/>
  <c r="N55" i="24" s="1"/>
  <c r="H55" i="24"/>
  <c r="G55" i="24"/>
  <c r="F55" i="24"/>
  <c r="E55" i="24"/>
  <c r="D55" i="24"/>
  <c r="H54" i="24"/>
  <c r="G54" i="24"/>
  <c r="F54" i="24"/>
  <c r="E54" i="24"/>
  <c r="D54" i="24"/>
  <c r="H53" i="24"/>
  <c r="G53" i="24"/>
  <c r="F53" i="24"/>
  <c r="E53" i="24"/>
  <c r="D53" i="24"/>
  <c r="M52" i="24"/>
  <c r="H52" i="24"/>
  <c r="G52" i="24"/>
  <c r="F52" i="24"/>
  <c r="E52" i="24"/>
  <c r="D52" i="24"/>
  <c r="H51" i="24"/>
  <c r="G51" i="24"/>
  <c r="F51" i="24"/>
  <c r="F75" i="24" s="1"/>
  <c r="L20" i="24" s="1"/>
  <c r="E51" i="24"/>
  <c r="D51" i="24"/>
  <c r="G50" i="24"/>
  <c r="F50" i="24"/>
  <c r="E50" i="24"/>
  <c r="D50" i="24"/>
  <c r="M49" i="24"/>
  <c r="N49" i="24" s="1"/>
  <c r="H49" i="24"/>
  <c r="G49" i="24"/>
  <c r="G75" i="24" s="1"/>
  <c r="M20" i="24" s="1"/>
  <c r="F49" i="24"/>
  <c r="E49" i="24"/>
  <c r="D49" i="24"/>
  <c r="D75" i="24" s="1"/>
  <c r="J20" i="24" s="1"/>
  <c r="Q45" i="24"/>
  <c r="E43" i="24"/>
  <c r="E72" i="24" s="1"/>
  <c r="M34" i="24"/>
  <c r="S27" i="24"/>
  <c r="N26" i="24"/>
  <c r="M12" i="24"/>
  <c r="M11" i="24"/>
  <c r="Y13" i="24" s="1"/>
  <c r="M10" i="24"/>
  <c r="S13" i="24" s="1"/>
  <c r="M9" i="24"/>
  <c r="M8" i="24"/>
  <c r="M74" i="24" s="1"/>
  <c r="M7" i="24"/>
  <c r="M6" i="24"/>
  <c r="AA5" i="24"/>
  <c r="M5" i="24"/>
  <c r="AA4" i="24"/>
  <c r="S4" i="24"/>
  <c r="M4" i="24"/>
  <c r="V13" i="24" s="1"/>
  <c r="N53" i="23"/>
  <c r="N50" i="23"/>
  <c r="O50" i="23" s="1"/>
  <c r="X75" i="23"/>
  <c r="D10" i="23"/>
  <c r="D9" i="23"/>
  <c r="D14" i="23"/>
  <c r="D12" i="23"/>
  <c r="D8" i="23"/>
  <c r="F137" i="23"/>
  <c r="E137" i="23"/>
  <c r="D137" i="23"/>
  <c r="F136" i="23"/>
  <c r="E136" i="23"/>
  <c r="D136" i="23"/>
  <c r="F135" i="23"/>
  <c r="E135" i="23"/>
  <c r="D135" i="23"/>
  <c r="F134" i="23"/>
  <c r="E134" i="23"/>
  <c r="D134" i="23"/>
  <c r="F133" i="23"/>
  <c r="E133" i="23"/>
  <c r="D133" i="23"/>
  <c r="F132" i="23"/>
  <c r="E132" i="23"/>
  <c r="D132" i="23"/>
  <c r="F131" i="23"/>
  <c r="E131" i="23"/>
  <c r="D131" i="23"/>
  <c r="F130" i="23"/>
  <c r="E130" i="23"/>
  <c r="D130" i="23"/>
  <c r="F129" i="23"/>
  <c r="E129" i="23"/>
  <c r="D129" i="23"/>
  <c r="F128" i="23"/>
  <c r="E128" i="23"/>
  <c r="D128" i="23"/>
  <c r="F127" i="23"/>
  <c r="E127" i="23"/>
  <c r="D127" i="23"/>
  <c r="F126" i="23"/>
  <c r="E126" i="23"/>
  <c r="D126" i="23"/>
  <c r="F125" i="23"/>
  <c r="E125" i="23"/>
  <c r="D125" i="23"/>
  <c r="F124" i="23"/>
  <c r="E124" i="23"/>
  <c r="D124" i="23"/>
  <c r="F123" i="23"/>
  <c r="E123" i="23"/>
  <c r="D123" i="23"/>
  <c r="F122" i="23"/>
  <c r="E122" i="23"/>
  <c r="D122" i="23"/>
  <c r="F121" i="23"/>
  <c r="E121" i="23"/>
  <c r="D121" i="23"/>
  <c r="F120" i="23"/>
  <c r="E120" i="23"/>
  <c r="D120" i="23"/>
  <c r="F119" i="23"/>
  <c r="E119" i="23"/>
  <c r="D119" i="23"/>
  <c r="F118" i="23"/>
  <c r="E118" i="23"/>
  <c r="D118" i="23"/>
  <c r="F117" i="23"/>
  <c r="E117" i="23"/>
  <c r="D117" i="23"/>
  <c r="D138" i="23" s="1"/>
  <c r="J88" i="23" s="1"/>
  <c r="F116" i="23"/>
  <c r="E116" i="23"/>
  <c r="D116" i="23"/>
  <c r="F115" i="23"/>
  <c r="F138" i="23" s="1"/>
  <c r="L88" i="23" s="1"/>
  <c r="E115" i="23"/>
  <c r="E138" i="23" s="1"/>
  <c r="K88" i="23" s="1"/>
  <c r="AA8" i="23" s="1"/>
  <c r="D115" i="23"/>
  <c r="H82" i="23"/>
  <c r="G82" i="23"/>
  <c r="F82" i="23"/>
  <c r="E82" i="23"/>
  <c r="D82" i="23"/>
  <c r="H81" i="23"/>
  <c r="G81" i="23"/>
  <c r="F81" i="23"/>
  <c r="E81" i="23"/>
  <c r="D81" i="23"/>
  <c r="H80" i="23"/>
  <c r="G80" i="23"/>
  <c r="F80" i="23"/>
  <c r="D80" i="23"/>
  <c r="H79" i="23"/>
  <c r="G79" i="23"/>
  <c r="F79" i="23"/>
  <c r="E79" i="23"/>
  <c r="D79" i="23"/>
  <c r="H78" i="23"/>
  <c r="G78" i="23"/>
  <c r="F78" i="23"/>
  <c r="E78" i="23"/>
  <c r="D78" i="23"/>
  <c r="H77" i="23"/>
  <c r="G77" i="23"/>
  <c r="F77" i="23"/>
  <c r="E77" i="23"/>
  <c r="D77" i="23"/>
  <c r="H76" i="23"/>
  <c r="G76" i="23"/>
  <c r="F76" i="23"/>
  <c r="E76" i="23"/>
  <c r="D76" i="23"/>
  <c r="H75" i="23"/>
  <c r="G75" i="23"/>
  <c r="F75" i="23"/>
  <c r="E75" i="23"/>
  <c r="D75" i="23"/>
  <c r="H74" i="23"/>
  <c r="G74" i="23"/>
  <c r="F74" i="23"/>
  <c r="E74" i="23"/>
  <c r="D74" i="23"/>
  <c r="H73" i="23"/>
  <c r="G73" i="23"/>
  <c r="F73" i="23"/>
  <c r="E73" i="23"/>
  <c r="D73" i="23"/>
  <c r="H72" i="23"/>
  <c r="G72" i="23"/>
  <c r="F72" i="23"/>
  <c r="E72" i="23"/>
  <c r="D72" i="23"/>
  <c r="V71" i="23"/>
  <c r="H71" i="23"/>
  <c r="G71" i="23"/>
  <c r="F71" i="23"/>
  <c r="E71" i="23"/>
  <c r="D71" i="23"/>
  <c r="H70" i="23"/>
  <c r="G70" i="23"/>
  <c r="F70" i="23"/>
  <c r="E70" i="23"/>
  <c r="D70" i="23"/>
  <c r="H69" i="23"/>
  <c r="G69" i="23"/>
  <c r="F69" i="23"/>
  <c r="E69" i="23"/>
  <c r="D69" i="23"/>
  <c r="N68" i="23"/>
  <c r="H68" i="23"/>
  <c r="G68" i="23"/>
  <c r="F68" i="23"/>
  <c r="E68" i="23"/>
  <c r="D68" i="23"/>
  <c r="H67" i="23"/>
  <c r="G67" i="23"/>
  <c r="F67" i="23"/>
  <c r="E67" i="23"/>
  <c r="D67" i="23"/>
  <c r="H66" i="23"/>
  <c r="G66" i="23"/>
  <c r="F66" i="23"/>
  <c r="E66" i="23"/>
  <c r="D66" i="23"/>
  <c r="H65" i="23"/>
  <c r="G65" i="23"/>
  <c r="F65" i="23"/>
  <c r="E65" i="23"/>
  <c r="D65" i="23"/>
  <c r="V64" i="23"/>
  <c r="V65" i="23" s="1"/>
  <c r="H64" i="23"/>
  <c r="G64" i="23"/>
  <c r="F64" i="23"/>
  <c r="E64" i="23"/>
  <c r="D64" i="23"/>
  <c r="V63" i="23"/>
  <c r="H63" i="23"/>
  <c r="G63" i="23"/>
  <c r="F63" i="23"/>
  <c r="E63" i="23"/>
  <c r="D63" i="23"/>
  <c r="H62" i="23"/>
  <c r="G62" i="23"/>
  <c r="F62" i="23"/>
  <c r="E62" i="23"/>
  <c r="D62" i="23"/>
  <c r="H61" i="23"/>
  <c r="G61" i="23"/>
  <c r="F61" i="23"/>
  <c r="E61" i="23"/>
  <c r="D61" i="23"/>
  <c r="H60" i="23"/>
  <c r="G60" i="23"/>
  <c r="F60" i="23"/>
  <c r="E60" i="23"/>
  <c r="D60" i="23"/>
  <c r="H59" i="23"/>
  <c r="G59" i="23"/>
  <c r="F59" i="23"/>
  <c r="E59" i="23"/>
  <c r="D59" i="23"/>
  <c r="H58" i="23"/>
  <c r="G58" i="23"/>
  <c r="F58" i="23"/>
  <c r="E58" i="23"/>
  <c r="D58" i="23"/>
  <c r="H57" i="23"/>
  <c r="G57" i="23"/>
  <c r="F57" i="23"/>
  <c r="E57" i="23"/>
  <c r="D57" i="23"/>
  <c r="H56" i="23"/>
  <c r="G56" i="23"/>
  <c r="F56" i="23"/>
  <c r="F83" i="23" s="1"/>
  <c r="L20" i="23" s="1"/>
  <c r="V14" i="23" s="1"/>
  <c r="E56" i="23"/>
  <c r="D56" i="23"/>
  <c r="H55" i="23"/>
  <c r="G55" i="23"/>
  <c r="G83" i="23" s="1"/>
  <c r="M20" i="23" s="1"/>
  <c r="F55" i="23"/>
  <c r="E55" i="23"/>
  <c r="D55" i="23"/>
  <c r="G54" i="23"/>
  <c r="F54" i="23"/>
  <c r="E54" i="23"/>
  <c r="D54" i="23"/>
  <c r="O53" i="23"/>
  <c r="H53" i="23"/>
  <c r="G53" i="23"/>
  <c r="F53" i="23"/>
  <c r="E53" i="23"/>
  <c r="D53" i="23"/>
  <c r="D83" i="23" s="1"/>
  <c r="J20" i="23" s="1"/>
  <c r="Z48" i="23"/>
  <c r="V51" i="23" s="1"/>
  <c r="Z47" i="23"/>
  <c r="O47" i="23"/>
  <c r="E47" i="23"/>
  <c r="E80" i="23" s="1"/>
  <c r="R42" i="23"/>
  <c r="M38" i="23"/>
  <c r="M35" i="23"/>
  <c r="M34" i="23"/>
  <c r="M36" i="23" s="1"/>
  <c r="S27" i="23"/>
  <c r="E16" i="23"/>
  <c r="F16" i="23" s="1"/>
  <c r="D16" i="23"/>
  <c r="V15" i="23"/>
  <c r="S15" i="23"/>
  <c r="S14" i="23"/>
  <c r="M12" i="23"/>
  <c r="M11" i="23"/>
  <c r="M10" i="23"/>
  <c r="S13" i="23" s="1"/>
  <c r="M9" i="23"/>
  <c r="P5" i="23" s="1"/>
  <c r="V8" i="23"/>
  <c r="M8" i="23"/>
  <c r="M69" i="23" s="1"/>
  <c r="N69" i="23" s="1"/>
  <c r="M7" i="23"/>
  <c r="M6" i="23"/>
  <c r="AA5" i="23"/>
  <c r="M5" i="23"/>
  <c r="AA4" i="23"/>
  <c r="S4" i="23"/>
  <c r="M4" i="23"/>
  <c r="V13" i="23" s="1"/>
  <c r="V71" i="16"/>
  <c r="S14" i="16"/>
  <c r="S15" i="16"/>
  <c r="Z27" i="28" l="1"/>
  <c r="V86" i="28"/>
  <c r="AB23" i="28"/>
  <c r="AD87" i="28"/>
  <c r="AE87" i="28" s="1"/>
  <c r="AB88" i="28"/>
  <c r="AD88" i="28" s="1"/>
  <c r="AE88" i="28" s="1"/>
  <c r="M30" i="28"/>
  <c r="M39" i="28" s="1"/>
  <c r="M47" i="28"/>
  <c r="M69" i="28" s="1"/>
  <c r="N69" i="28" s="1"/>
  <c r="N73" i="28" s="1"/>
  <c r="N78" i="28" s="1"/>
  <c r="M29" i="28"/>
  <c r="M29" i="27"/>
  <c r="M47" i="27"/>
  <c r="M69" i="27" s="1"/>
  <c r="Z32" i="28"/>
  <c r="M55" i="27"/>
  <c r="M56" i="27" s="1"/>
  <c r="T60" i="27" s="1"/>
  <c r="AB23" i="27"/>
  <c r="Z23" i="27"/>
  <c r="U37" i="27"/>
  <c r="U36" i="27"/>
  <c r="U35" i="27"/>
  <c r="U34" i="27"/>
  <c r="U33" i="27"/>
  <c r="U32" i="27"/>
  <c r="M73" i="27"/>
  <c r="M78" i="27" s="1"/>
  <c r="N69" i="27"/>
  <c r="N73" i="27" s="1"/>
  <c r="N78" i="27" s="1"/>
  <c r="AB27" i="27"/>
  <c r="Z27" i="27"/>
  <c r="N30" i="26"/>
  <c r="N31" i="26" s="1"/>
  <c r="L32" i="26" s="1"/>
  <c r="N41" i="26" s="1"/>
  <c r="K86" i="26"/>
  <c r="K87" i="26"/>
  <c r="L69" i="26"/>
  <c r="M67" i="26"/>
  <c r="M69" i="26" s="1"/>
  <c r="M72" i="26" s="1"/>
  <c r="M76" i="26" s="1"/>
  <c r="S20" i="24"/>
  <c r="S65" i="20" s="1"/>
  <c r="AA8" i="24"/>
  <c r="AA10" i="24" s="1"/>
  <c r="P5" i="24"/>
  <c r="S16" i="24"/>
  <c r="S18" i="24" s="1"/>
  <c r="P9" i="24"/>
  <c r="P7" i="24"/>
  <c r="V14" i="24"/>
  <c r="V15" i="24"/>
  <c r="V7" i="24" s="1"/>
  <c r="V8" i="24" s="1"/>
  <c r="V10" i="24" s="1"/>
  <c r="V16" i="24" s="1"/>
  <c r="V17" i="24" s="1"/>
  <c r="S67" i="20" s="1"/>
  <c r="E75" i="24"/>
  <c r="K20" i="24" s="1"/>
  <c r="Y16" i="24" s="1"/>
  <c r="Y18" i="24" s="1"/>
  <c r="P4" i="24"/>
  <c r="S6" i="24"/>
  <c r="S8" i="24"/>
  <c r="AA10" i="23"/>
  <c r="K90" i="23" s="1"/>
  <c r="E83" i="23"/>
  <c r="K20" i="23" s="1"/>
  <c r="Y16" i="23" s="1"/>
  <c r="Y18" i="23" s="1"/>
  <c r="M28" i="23"/>
  <c r="V16" i="23"/>
  <c r="I37" i="23" s="1"/>
  <c r="S16" i="23"/>
  <c r="S18" i="23" s="1"/>
  <c r="P9" i="23"/>
  <c r="S6" i="23"/>
  <c r="S8" i="23" s="1"/>
  <c r="P4" i="23"/>
  <c r="S10" i="23" s="1"/>
  <c r="E12" i="23" s="1"/>
  <c r="F12" i="23" s="1"/>
  <c r="M50" i="23" s="1"/>
  <c r="M64" i="23" s="1"/>
  <c r="N64" i="23" s="1"/>
  <c r="P7" i="23"/>
  <c r="Y13" i="23"/>
  <c r="S20" i="4"/>
  <c r="N47" i="22"/>
  <c r="O47" i="22" s="1"/>
  <c r="D16" i="22"/>
  <c r="E14" i="22"/>
  <c r="D14" i="22"/>
  <c r="F12" i="22"/>
  <c r="D12" i="22"/>
  <c r="D11" i="22"/>
  <c r="F11" i="22" s="1"/>
  <c r="M50" i="22" s="1"/>
  <c r="M64" i="22" s="1"/>
  <c r="D8" i="22"/>
  <c r="F137" i="22"/>
  <c r="E137" i="22"/>
  <c r="D137" i="22"/>
  <c r="F136" i="22"/>
  <c r="E136" i="22"/>
  <c r="D136" i="22"/>
  <c r="F135" i="22"/>
  <c r="E135" i="22"/>
  <c r="D135" i="22"/>
  <c r="F134" i="22"/>
  <c r="E134" i="22"/>
  <c r="D134" i="22"/>
  <c r="F133" i="22"/>
  <c r="E133" i="22"/>
  <c r="D133" i="22"/>
  <c r="F132" i="22"/>
  <c r="E132" i="22"/>
  <c r="D132" i="22"/>
  <c r="F131" i="22"/>
  <c r="E131" i="22"/>
  <c r="D131" i="22"/>
  <c r="F130" i="22"/>
  <c r="E130" i="22"/>
  <c r="D130" i="22"/>
  <c r="F129" i="22"/>
  <c r="E129" i="22"/>
  <c r="D129" i="22"/>
  <c r="F128" i="22"/>
  <c r="E128" i="22"/>
  <c r="D128" i="22"/>
  <c r="F127" i="22"/>
  <c r="E127" i="22"/>
  <c r="D127" i="22"/>
  <c r="F126" i="22"/>
  <c r="E126" i="22"/>
  <c r="D126" i="22"/>
  <c r="F125" i="22"/>
  <c r="E125" i="22"/>
  <c r="D125" i="22"/>
  <c r="F124" i="22"/>
  <c r="E124" i="22"/>
  <c r="D124" i="22"/>
  <c r="F123" i="22"/>
  <c r="E123" i="22"/>
  <c r="D123" i="22"/>
  <c r="F122" i="22"/>
  <c r="E122" i="22"/>
  <c r="D122" i="22"/>
  <c r="F121" i="22"/>
  <c r="E121" i="22"/>
  <c r="D121" i="22"/>
  <c r="F120" i="22"/>
  <c r="E120" i="22"/>
  <c r="D120" i="22"/>
  <c r="F119" i="22"/>
  <c r="E119" i="22"/>
  <c r="D119" i="22"/>
  <c r="F118" i="22"/>
  <c r="E118" i="22"/>
  <c r="D118" i="22"/>
  <c r="F117" i="22"/>
  <c r="E117" i="22"/>
  <c r="D117" i="22"/>
  <c r="F116" i="22"/>
  <c r="E116" i="22"/>
  <c r="D116" i="22"/>
  <c r="F115" i="22"/>
  <c r="E115" i="22"/>
  <c r="D115" i="22"/>
  <c r="H82" i="22"/>
  <c r="G82" i="22"/>
  <c r="F82" i="22"/>
  <c r="E82" i="22"/>
  <c r="D82" i="22"/>
  <c r="H81" i="22"/>
  <c r="G81" i="22"/>
  <c r="F81" i="22"/>
  <c r="E81" i="22"/>
  <c r="D81" i="22"/>
  <c r="H80" i="22"/>
  <c r="G80" i="22"/>
  <c r="F80" i="22"/>
  <c r="D80" i="22"/>
  <c r="H79" i="22"/>
  <c r="G79" i="22"/>
  <c r="F79" i="22"/>
  <c r="E79" i="22"/>
  <c r="D79" i="22"/>
  <c r="H78" i="22"/>
  <c r="G78" i="22"/>
  <c r="F78" i="22"/>
  <c r="E78" i="22"/>
  <c r="D78" i="22"/>
  <c r="H77" i="22"/>
  <c r="G77" i="22"/>
  <c r="F77" i="22"/>
  <c r="E77" i="22"/>
  <c r="D77" i="22"/>
  <c r="H76" i="22"/>
  <c r="G76" i="22"/>
  <c r="F76" i="22"/>
  <c r="E76" i="22"/>
  <c r="D76" i="22"/>
  <c r="H75" i="22"/>
  <c r="G75" i="22"/>
  <c r="F75" i="22"/>
  <c r="E75" i="22"/>
  <c r="D75" i="22"/>
  <c r="H74" i="22"/>
  <c r="G74" i="22"/>
  <c r="F74" i="22"/>
  <c r="E74" i="22"/>
  <c r="D74" i="22"/>
  <c r="H73" i="22"/>
  <c r="G73" i="22"/>
  <c r="F73" i="22"/>
  <c r="E73" i="22"/>
  <c r="D73" i="22"/>
  <c r="H72" i="22"/>
  <c r="G72" i="22"/>
  <c r="F72" i="22"/>
  <c r="E72" i="22"/>
  <c r="D72" i="22"/>
  <c r="H71" i="22"/>
  <c r="G71" i="22"/>
  <c r="F71" i="22"/>
  <c r="E71" i="22"/>
  <c r="D71" i="22"/>
  <c r="H70" i="22"/>
  <c r="G70" i="22"/>
  <c r="F70" i="22"/>
  <c r="E70" i="22"/>
  <c r="D70" i="22"/>
  <c r="H69" i="22"/>
  <c r="G69" i="22"/>
  <c r="F69" i="22"/>
  <c r="E69" i="22"/>
  <c r="D69" i="22"/>
  <c r="N68" i="22"/>
  <c r="H68" i="22"/>
  <c r="G68" i="22"/>
  <c r="F68" i="22"/>
  <c r="E68" i="22"/>
  <c r="D68" i="22"/>
  <c r="H67" i="22"/>
  <c r="G67" i="22"/>
  <c r="F67" i="22"/>
  <c r="E67" i="22"/>
  <c r="D67" i="22"/>
  <c r="H66" i="22"/>
  <c r="G66" i="22"/>
  <c r="F66" i="22"/>
  <c r="E66" i="22"/>
  <c r="D66" i="22"/>
  <c r="H65" i="22"/>
  <c r="G65" i="22"/>
  <c r="F65" i="22"/>
  <c r="E65" i="22"/>
  <c r="D65" i="22"/>
  <c r="V64" i="22"/>
  <c r="H64" i="22"/>
  <c r="G64" i="22"/>
  <c r="F64" i="22"/>
  <c r="E64" i="22"/>
  <c r="D64" i="22"/>
  <c r="V63" i="22"/>
  <c r="H63" i="22"/>
  <c r="G63" i="22"/>
  <c r="F63" i="22"/>
  <c r="E63" i="22"/>
  <c r="D63" i="22"/>
  <c r="H62" i="22"/>
  <c r="G62" i="22"/>
  <c r="F62" i="22"/>
  <c r="E62" i="22"/>
  <c r="D62" i="22"/>
  <c r="H61" i="22"/>
  <c r="G61" i="22"/>
  <c r="F61" i="22"/>
  <c r="E61" i="22"/>
  <c r="D61" i="22"/>
  <c r="H60" i="22"/>
  <c r="G60" i="22"/>
  <c r="F60" i="22"/>
  <c r="E60" i="22"/>
  <c r="D60" i="22"/>
  <c r="H59" i="22"/>
  <c r="G59" i="22"/>
  <c r="F59" i="22"/>
  <c r="E59" i="22"/>
  <c r="D59" i="22"/>
  <c r="H58" i="22"/>
  <c r="G58" i="22"/>
  <c r="F58" i="22"/>
  <c r="E58" i="22"/>
  <c r="D58" i="22"/>
  <c r="H57" i="22"/>
  <c r="G57" i="22"/>
  <c r="F57" i="22"/>
  <c r="E57" i="22"/>
  <c r="D57" i="22"/>
  <c r="H56" i="22"/>
  <c r="G56" i="22"/>
  <c r="F56" i="22"/>
  <c r="E56" i="22"/>
  <c r="D56" i="22"/>
  <c r="H55" i="22"/>
  <c r="G55" i="22"/>
  <c r="F55" i="22"/>
  <c r="E55" i="22"/>
  <c r="D55" i="22"/>
  <c r="G54" i="22"/>
  <c r="F54" i="22"/>
  <c r="E54" i="22"/>
  <c r="D54" i="22"/>
  <c r="O53" i="22"/>
  <c r="H53" i="22"/>
  <c r="G53" i="22"/>
  <c r="F53" i="22"/>
  <c r="E53" i="22"/>
  <c r="D53" i="22"/>
  <c r="O50" i="22"/>
  <c r="Z48" i="22"/>
  <c r="Z47" i="22"/>
  <c r="V51" i="22" s="1"/>
  <c r="E47" i="22"/>
  <c r="E80" i="22" s="1"/>
  <c r="R42" i="22"/>
  <c r="M38" i="22"/>
  <c r="M35" i="22"/>
  <c r="M34" i="22"/>
  <c r="M36" i="22" s="1"/>
  <c r="S27" i="22"/>
  <c r="V15" i="22"/>
  <c r="S15" i="22"/>
  <c r="S14" i="22"/>
  <c r="M12" i="22"/>
  <c r="M11" i="22"/>
  <c r="Y13" i="22" s="1"/>
  <c r="M10" i="22"/>
  <c r="M9" i="22"/>
  <c r="V8" i="22"/>
  <c r="M8" i="22"/>
  <c r="M28" i="22" s="1"/>
  <c r="M7" i="22"/>
  <c r="M6" i="22"/>
  <c r="AA5" i="22"/>
  <c r="M5" i="22"/>
  <c r="AA4" i="22"/>
  <c r="S4" i="22"/>
  <c r="M4" i="22"/>
  <c r="V13" i="22" s="1"/>
  <c r="M54" i="28" l="1"/>
  <c r="M55" i="28" s="1"/>
  <c r="T60" i="28" s="1"/>
  <c r="V60" i="28" s="1"/>
  <c r="M73" i="28"/>
  <c r="M78" i="28" s="1"/>
  <c r="Q59" i="27"/>
  <c r="Q60" i="27"/>
  <c r="Q61" i="27"/>
  <c r="T61" i="27"/>
  <c r="T59" i="27"/>
  <c r="AD35" i="27"/>
  <c r="AF35" i="27"/>
  <c r="AH35" i="27" s="1"/>
  <c r="V35" i="27"/>
  <c r="Y35" i="27"/>
  <c r="AB35" i="27" s="1"/>
  <c r="AF36" i="27"/>
  <c r="AH36" i="27" s="1"/>
  <c r="AD36" i="27"/>
  <c r="V36" i="27"/>
  <c r="Y36" i="27"/>
  <c r="AB36" i="27" s="1"/>
  <c r="AD37" i="27"/>
  <c r="AF37" i="27"/>
  <c r="AH37" i="27" s="1"/>
  <c r="V37" i="27"/>
  <c r="Y37" i="27"/>
  <c r="AD32" i="27"/>
  <c r="AF32" i="27"/>
  <c r="AH32" i="27" s="1"/>
  <c r="Y32" i="27"/>
  <c r="V32" i="27"/>
  <c r="AF33" i="27"/>
  <c r="AH33" i="27" s="1"/>
  <c r="AD33" i="27"/>
  <c r="Y33" i="27"/>
  <c r="AB33" i="27" s="1"/>
  <c r="V33" i="27"/>
  <c r="AF34" i="27"/>
  <c r="AH34" i="27" s="1"/>
  <c r="AD34" i="27"/>
  <c r="V34" i="27"/>
  <c r="Y34" i="27"/>
  <c r="AB34" i="27" s="1"/>
  <c r="N69" i="22"/>
  <c r="P10" i="24"/>
  <c r="L55" i="24"/>
  <c r="L67" i="24" s="1"/>
  <c r="M67" i="24" s="1"/>
  <c r="U27" i="24"/>
  <c r="U25" i="24"/>
  <c r="Y25" i="24" s="1"/>
  <c r="U23" i="24"/>
  <c r="U26" i="24"/>
  <c r="U24" i="24"/>
  <c r="S10" i="24"/>
  <c r="N35" i="24" s="1"/>
  <c r="N37" i="24" s="1"/>
  <c r="K81" i="24"/>
  <c r="K90" i="24" s="1"/>
  <c r="Y20" i="24"/>
  <c r="S66" i="20" s="1"/>
  <c r="AA11" i="24"/>
  <c r="N25" i="24"/>
  <c r="P10" i="23"/>
  <c r="Y20" i="23"/>
  <c r="U36" i="23" s="1"/>
  <c r="V18" i="23"/>
  <c r="E10" i="23"/>
  <c r="F10" i="23" s="1"/>
  <c r="E9" i="23"/>
  <c r="F9" i="23" s="1"/>
  <c r="E8" i="23"/>
  <c r="F8" i="23" s="1"/>
  <c r="E14" i="23"/>
  <c r="F14" i="23" s="1"/>
  <c r="K98" i="23"/>
  <c r="K99" i="23" s="1"/>
  <c r="N71" i="23" s="1"/>
  <c r="K94" i="23"/>
  <c r="M70" i="23"/>
  <c r="S20" i="23"/>
  <c r="V65" i="22"/>
  <c r="D138" i="22"/>
  <c r="J88" i="22" s="1"/>
  <c r="P4" i="22" s="1"/>
  <c r="S10" i="22" s="1"/>
  <c r="E8" i="22" s="1"/>
  <c r="F138" i="22"/>
  <c r="L88" i="22" s="1"/>
  <c r="E138" i="22"/>
  <c r="K88" i="22" s="1"/>
  <c r="AA8" i="22" s="1"/>
  <c r="AA10" i="22" s="1"/>
  <c r="D83" i="22"/>
  <c r="J20" i="22" s="1"/>
  <c r="S16" i="22" s="1"/>
  <c r="S18" i="22" s="1"/>
  <c r="G83" i="22"/>
  <c r="M20" i="22" s="1"/>
  <c r="F83" i="22"/>
  <c r="L20" i="22" s="1"/>
  <c r="V14" i="22" s="1"/>
  <c r="S13" i="22"/>
  <c r="E83" i="22"/>
  <c r="K20" i="22" s="1"/>
  <c r="N55" i="21"/>
  <c r="D13" i="21"/>
  <c r="S7" i="21"/>
  <c r="V15" i="16"/>
  <c r="T61" i="28" l="1"/>
  <c r="V61" i="28" s="1"/>
  <c r="T59" i="28"/>
  <c r="V59" i="28" s="1"/>
  <c r="Q60" i="28"/>
  <c r="Q61" i="28"/>
  <c r="Q59" i="28"/>
  <c r="M56" i="28"/>
  <c r="AB32" i="27"/>
  <c r="Z32" i="27"/>
  <c r="AB37" i="27"/>
  <c r="Z37" i="27"/>
  <c r="Y23" i="24"/>
  <c r="Z23" i="24" s="1"/>
  <c r="V24" i="24"/>
  <c r="V25" i="24"/>
  <c r="V27" i="24"/>
  <c r="V26" i="24"/>
  <c r="H21" i="24"/>
  <c r="H50" i="24" s="1"/>
  <c r="H75" i="24" s="1"/>
  <c r="N20" i="24" s="1"/>
  <c r="P8" i="24" s="1"/>
  <c r="Y27" i="24"/>
  <c r="Z27" i="24" s="1"/>
  <c r="Y26" i="24"/>
  <c r="K96" i="24"/>
  <c r="K99" i="24" s="1"/>
  <c r="N36" i="24"/>
  <c r="N38" i="24" s="1"/>
  <c r="U34" i="24"/>
  <c r="U36" i="24"/>
  <c r="U32" i="24"/>
  <c r="U37" i="24"/>
  <c r="U35" i="24"/>
  <c r="U33" i="24"/>
  <c r="V23" i="24"/>
  <c r="K85" i="24"/>
  <c r="K89" i="24"/>
  <c r="K91" i="24" s="1"/>
  <c r="K93" i="24" s="1"/>
  <c r="Y24" i="24"/>
  <c r="U32" i="23"/>
  <c r="Y32" i="23" s="1"/>
  <c r="U33" i="23"/>
  <c r="Y33" i="23" s="1"/>
  <c r="AB33" i="23" s="1"/>
  <c r="U35" i="23"/>
  <c r="AF35" i="23" s="1"/>
  <c r="AH35" i="23" s="1"/>
  <c r="U37" i="23"/>
  <c r="V37" i="23" s="1"/>
  <c r="U34" i="23"/>
  <c r="V34" i="23" s="1"/>
  <c r="Y36" i="23"/>
  <c r="AB36" i="23" s="1"/>
  <c r="H21" i="23"/>
  <c r="H54" i="23" s="1"/>
  <c r="H83" i="23" s="1"/>
  <c r="N20" i="23" s="1"/>
  <c r="P8" i="23" s="1"/>
  <c r="N56" i="23"/>
  <c r="N57" i="23"/>
  <c r="N59" i="23" s="1"/>
  <c r="M57" i="23"/>
  <c r="M47" i="23"/>
  <c r="M56" i="23" s="1"/>
  <c r="M59" i="23"/>
  <c r="K96" i="23"/>
  <c r="K95" i="23"/>
  <c r="M53" i="23"/>
  <c r="M27" i="23"/>
  <c r="AF36" i="23"/>
  <c r="AH36" i="23" s="1"/>
  <c r="AD36" i="23"/>
  <c r="V36" i="23"/>
  <c r="U27" i="23"/>
  <c r="U25" i="23"/>
  <c r="U23" i="23"/>
  <c r="S82" i="23"/>
  <c r="S83" i="23" s="1"/>
  <c r="R82" i="23"/>
  <c r="U26" i="23"/>
  <c r="U24" i="23"/>
  <c r="M26" i="23"/>
  <c r="K90" i="22"/>
  <c r="K98" i="22" s="1"/>
  <c r="K99" i="22" s="1"/>
  <c r="N71" i="22" s="1"/>
  <c r="N70" i="22"/>
  <c r="N64" i="22"/>
  <c r="S6" i="22"/>
  <c r="S8" i="22" s="1"/>
  <c r="E16" i="22" s="1"/>
  <c r="F16" i="22" s="1"/>
  <c r="P5" i="22"/>
  <c r="P9" i="22"/>
  <c r="S20" i="22"/>
  <c r="U27" i="22" s="1"/>
  <c r="P7" i="22"/>
  <c r="K94" i="22"/>
  <c r="F14" i="22"/>
  <c r="F8" i="22"/>
  <c r="M47" i="22" s="1"/>
  <c r="O56" i="22" s="1"/>
  <c r="Y16" i="22"/>
  <c r="P10" i="22"/>
  <c r="V16" i="22"/>
  <c r="I37" i="22" s="1"/>
  <c r="N53" i="16"/>
  <c r="K97" i="24" l="1"/>
  <c r="K98" i="24" s="1"/>
  <c r="K101" i="24" s="1"/>
  <c r="M71" i="24" s="1"/>
  <c r="Y33" i="24"/>
  <c r="V33" i="24"/>
  <c r="V35" i="24"/>
  <c r="Y35" i="24"/>
  <c r="V37" i="24"/>
  <c r="Y37" i="24"/>
  <c r="Z37" i="24" s="1"/>
  <c r="V32" i="24"/>
  <c r="Y32" i="24"/>
  <c r="Z32" i="24" s="1"/>
  <c r="L49" i="24"/>
  <c r="L65" i="24" s="1"/>
  <c r="N23" i="24"/>
  <c r="N30" i="24" s="1"/>
  <c r="N31" i="24" s="1"/>
  <c r="L32" i="24" s="1"/>
  <c r="N41" i="24" s="1"/>
  <c r="Q65" i="24"/>
  <c r="Y36" i="24"/>
  <c r="V36" i="24"/>
  <c r="K86" i="24"/>
  <c r="K87" i="24"/>
  <c r="V34" i="24"/>
  <c r="Y34" i="24"/>
  <c r="Y34" i="23"/>
  <c r="AB34" i="23" s="1"/>
  <c r="AD35" i="23"/>
  <c r="AF34" i="23"/>
  <c r="AH34" i="23" s="1"/>
  <c r="AD34" i="23"/>
  <c r="AB32" i="23"/>
  <c r="Z32" i="23"/>
  <c r="AF32" i="23"/>
  <c r="AH32" i="23" s="1"/>
  <c r="AD33" i="23"/>
  <c r="V33" i="23"/>
  <c r="AD32" i="23"/>
  <c r="AF33" i="23"/>
  <c r="AH33" i="23" s="1"/>
  <c r="V32" i="23"/>
  <c r="AD37" i="23"/>
  <c r="AF37" i="23"/>
  <c r="AH37" i="23" s="1"/>
  <c r="Y37" i="23"/>
  <c r="Z37" i="23" s="1"/>
  <c r="Y35" i="23"/>
  <c r="AB35" i="23" s="1"/>
  <c r="V35" i="23"/>
  <c r="M63" i="23"/>
  <c r="N63" i="23" s="1"/>
  <c r="AF27" i="23"/>
  <c r="AH27" i="23" s="1"/>
  <c r="AD27" i="23"/>
  <c r="Y27" i="23"/>
  <c r="V27" i="23"/>
  <c r="AF24" i="23"/>
  <c r="AH24" i="23" s="1"/>
  <c r="AD24" i="23"/>
  <c r="V24" i="23"/>
  <c r="Y24" i="23"/>
  <c r="AB24" i="23" s="1"/>
  <c r="AF26" i="23"/>
  <c r="AH26" i="23" s="1"/>
  <c r="AD26" i="23"/>
  <c r="Y26" i="23"/>
  <c r="AB26" i="23" s="1"/>
  <c r="V26" i="23"/>
  <c r="M65" i="23"/>
  <c r="N65" i="23" s="1"/>
  <c r="S84" i="23"/>
  <c r="T84" i="23" s="1"/>
  <c r="T83" i="23"/>
  <c r="U83" i="23" s="1"/>
  <c r="AF23" i="23"/>
  <c r="AH23" i="23" s="1"/>
  <c r="AD23" i="23"/>
  <c r="V23" i="23"/>
  <c r="Y23" i="23"/>
  <c r="AF25" i="23"/>
  <c r="AH25" i="23" s="1"/>
  <c r="AD25" i="23"/>
  <c r="V25" i="23"/>
  <c r="Y25" i="23"/>
  <c r="AB25" i="23" s="1"/>
  <c r="M25" i="23"/>
  <c r="M30" i="23" s="1"/>
  <c r="M39" i="23" s="1"/>
  <c r="M29" i="23"/>
  <c r="S82" i="22"/>
  <c r="S83" i="22" s="1"/>
  <c r="T83" i="22" s="1"/>
  <c r="U23" i="22"/>
  <c r="AF23" i="22" s="1"/>
  <c r="AH23" i="22" s="1"/>
  <c r="U25" i="22"/>
  <c r="AF25" i="22" s="1"/>
  <c r="AH25" i="22" s="1"/>
  <c r="U26" i="22"/>
  <c r="AD26" i="22" s="1"/>
  <c r="R82" i="22"/>
  <c r="U24" i="22"/>
  <c r="AF24" i="22" s="1"/>
  <c r="AH24" i="22" s="1"/>
  <c r="V18" i="22"/>
  <c r="AF27" i="22"/>
  <c r="AH27" i="22" s="1"/>
  <c r="AD27" i="22"/>
  <c r="Y18" i="22"/>
  <c r="M27" i="22"/>
  <c r="M53" i="22"/>
  <c r="M65" i="22" s="1"/>
  <c r="N65" i="22" s="1"/>
  <c r="M26" i="22"/>
  <c r="K96" i="22"/>
  <c r="K95" i="22"/>
  <c r="M35" i="16"/>
  <c r="AA5" i="20"/>
  <c r="F133" i="21"/>
  <c r="E133" i="21"/>
  <c r="D133" i="21"/>
  <c r="F132" i="21"/>
  <c r="E132" i="21"/>
  <c r="D132" i="21"/>
  <c r="F131" i="21"/>
  <c r="E131" i="21"/>
  <c r="D131" i="21"/>
  <c r="F130" i="21"/>
  <c r="E130" i="21"/>
  <c r="D130" i="21"/>
  <c r="F129" i="21"/>
  <c r="E129" i="21"/>
  <c r="D129" i="21"/>
  <c r="F128" i="21"/>
  <c r="E128" i="21"/>
  <c r="D128" i="21"/>
  <c r="F127" i="21"/>
  <c r="E127" i="21"/>
  <c r="D127" i="21"/>
  <c r="F126" i="21"/>
  <c r="E126" i="21"/>
  <c r="D126" i="21"/>
  <c r="F125" i="21"/>
  <c r="E125" i="21"/>
  <c r="D125" i="21"/>
  <c r="F124" i="21"/>
  <c r="E124" i="21"/>
  <c r="D124" i="21"/>
  <c r="F123" i="21"/>
  <c r="E123" i="21"/>
  <c r="D123" i="21"/>
  <c r="F122" i="21"/>
  <c r="E122" i="21"/>
  <c r="D122" i="21"/>
  <c r="F121" i="21"/>
  <c r="E121" i="21"/>
  <c r="D121" i="21"/>
  <c r="F120" i="21"/>
  <c r="E120" i="21"/>
  <c r="D120" i="21"/>
  <c r="F119" i="21"/>
  <c r="E119" i="21"/>
  <c r="D119" i="21"/>
  <c r="F118" i="21"/>
  <c r="E118" i="21"/>
  <c r="D118" i="21"/>
  <c r="F117" i="21"/>
  <c r="E117" i="21"/>
  <c r="D117" i="21"/>
  <c r="F116" i="21"/>
  <c r="E116" i="21"/>
  <c r="D116" i="21"/>
  <c r="F115" i="21"/>
  <c r="E115" i="21"/>
  <c r="D115" i="21"/>
  <c r="F114" i="21"/>
  <c r="E114" i="21"/>
  <c r="D114" i="21"/>
  <c r="F113" i="21"/>
  <c r="E113" i="21"/>
  <c r="D113" i="21"/>
  <c r="F112" i="21"/>
  <c r="E112" i="21"/>
  <c r="D112" i="21"/>
  <c r="F111" i="21"/>
  <c r="E111" i="21"/>
  <c r="D111" i="21"/>
  <c r="F110" i="21"/>
  <c r="E110" i="21"/>
  <c r="D110" i="21"/>
  <c r="F109" i="21"/>
  <c r="E109" i="21"/>
  <c r="D109" i="21"/>
  <c r="H74" i="21"/>
  <c r="G74" i="21"/>
  <c r="F74" i="21"/>
  <c r="E74" i="21"/>
  <c r="D74" i="21"/>
  <c r="H73" i="21"/>
  <c r="G73" i="21"/>
  <c r="F73" i="21"/>
  <c r="E73" i="21"/>
  <c r="D73" i="21"/>
  <c r="H72" i="21"/>
  <c r="G72" i="21"/>
  <c r="F72" i="21"/>
  <c r="D72" i="21"/>
  <c r="H71" i="21"/>
  <c r="G71" i="21"/>
  <c r="F71" i="21"/>
  <c r="E71" i="21"/>
  <c r="D71" i="21"/>
  <c r="M70" i="21"/>
  <c r="H70" i="21"/>
  <c r="G70" i="21"/>
  <c r="F70" i="21"/>
  <c r="E70" i="21"/>
  <c r="D70" i="21"/>
  <c r="H69" i="21"/>
  <c r="G69" i="21"/>
  <c r="F69" i="21"/>
  <c r="E69" i="21"/>
  <c r="D69" i="21"/>
  <c r="H68" i="21"/>
  <c r="G68" i="21"/>
  <c r="F68" i="21"/>
  <c r="E68" i="21"/>
  <c r="D68" i="21"/>
  <c r="H67" i="21"/>
  <c r="G67" i="21"/>
  <c r="F67" i="21"/>
  <c r="E67" i="21"/>
  <c r="D67" i="21"/>
  <c r="H66" i="21"/>
  <c r="G66" i="21"/>
  <c r="F66" i="21"/>
  <c r="E66" i="21"/>
  <c r="D66" i="21"/>
  <c r="H65" i="21"/>
  <c r="G65" i="21"/>
  <c r="F65" i="21"/>
  <c r="E65" i="21"/>
  <c r="D65" i="21"/>
  <c r="H64" i="21"/>
  <c r="G64" i="21"/>
  <c r="F64" i="21"/>
  <c r="E64" i="21"/>
  <c r="D64" i="21"/>
  <c r="H63" i="21"/>
  <c r="G63" i="21"/>
  <c r="F63" i="21"/>
  <c r="E63" i="21"/>
  <c r="D63" i="21"/>
  <c r="H62" i="21"/>
  <c r="G62" i="21"/>
  <c r="F62" i="21"/>
  <c r="E62" i="21"/>
  <c r="D62" i="21"/>
  <c r="H61" i="21"/>
  <c r="G61" i="21"/>
  <c r="F61" i="21"/>
  <c r="E61" i="21"/>
  <c r="D61" i="21"/>
  <c r="H60" i="21"/>
  <c r="G60" i="21"/>
  <c r="F60" i="21"/>
  <c r="E60" i="21"/>
  <c r="D60" i="21"/>
  <c r="H59" i="21"/>
  <c r="G59" i="21"/>
  <c r="F59" i="21"/>
  <c r="E59" i="21"/>
  <c r="D59" i="21"/>
  <c r="H58" i="21"/>
  <c r="G58" i="21"/>
  <c r="F58" i="21"/>
  <c r="E58" i="21"/>
  <c r="D58" i="21"/>
  <c r="H57" i="21"/>
  <c r="G57" i="21"/>
  <c r="F57" i="21"/>
  <c r="E57" i="21"/>
  <c r="D57" i="21"/>
  <c r="H56" i="21"/>
  <c r="G56" i="21"/>
  <c r="F56" i="21"/>
  <c r="E56" i="21"/>
  <c r="D56" i="21"/>
  <c r="H55" i="21"/>
  <c r="G55" i="21"/>
  <c r="F55" i="21"/>
  <c r="E55" i="21"/>
  <c r="D55" i="21"/>
  <c r="H54" i="21"/>
  <c r="G54" i="21"/>
  <c r="F54" i="21"/>
  <c r="E54" i="21"/>
  <c r="D54" i="21"/>
  <c r="H53" i="21"/>
  <c r="G53" i="21"/>
  <c r="F53" i="21"/>
  <c r="E53" i="21"/>
  <c r="D53" i="21"/>
  <c r="H52" i="21"/>
  <c r="G52" i="21"/>
  <c r="F52" i="21"/>
  <c r="E52" i="21"/>
  <c r="D52" i="21"/>
  <c r="H51" i="21"/>
  <c r="G51" i="21"/>
  <c r="F51" i="21"/>
  <c r="E51" i="21"/>
  <c r="D51" i="21"/>
  <c r="G50" i="21"/>
  <c r="F50" i="21"/>
  <c r="E50" i="21"/>
  <c r="D50" i="21"/>
  <c r="H49" i="21"/>
  <c r="G49" i="21"/>
  <c r="F49" i="21"/>
  <c r="E49" i="21"/>
  <c r="D49" i="21"/>
  <c r="Q45" i="21"/>
  <c r="E43" i="21"/>
  <c r="E72" i="21" s="1"/>
  <c r="M34" i="21"/>
  <c r="S27" i="21"/>
  <c r="N26" i="21"/>
  <c r="D16" i="21"/>
  <c r="M12" i="21"/>
  <c r="AA11" i="21"/>
  <c r="M11" i="21"/>
  <c r="Y13" i="21" s="1"/>
  <c r="M10" i="21"/>
  <c r="S13" i="21" s="1"/>
  <c r="D11" i="21"/>
  <c r="M9" i="21"/>
  <c r="V8" i="21"/>
  <c r="V10" i="21" s="1"/>
  <c r="M8" i="21"/>
  <c r="M74" i="21" s="1"/>
  <c r="D8" i="21"/>
  <c r="V6" i="21"/>
  <c r="AA5" i="21"/>
  <c r="M5" i="21"/>
  <c r="AA4" i="21"/>
  <c r="S4" i="21"/>
  <c r="M4" i="21"/>
  <c r="V13" i="21" s="1"/>
  <c r="AA11" i="4"/>
  <c r="L66" i="4"/>
  <c r="N55" i="4"/>
  <c r="M55" i="4"/>
  <c r="N52" i="4"/>
  <c r="L52" i="4"/>
  <c r="M52" i="4"/>
  <c r="M49" i="4"/>
  <c r="N49" i="4" s="1"/>
  <c r="E16" i="4"/>
  <c r="D16" i="4"/>
  <c r="D13" i="4"/>
  <c r="D12" i="4"/>
  <c r="V6" i="4"/>
  <c r="D10" i="4"/>
  <c r="D8" i="4"/>
  <c r="F133" i="20"/>
  <c r="E133" i="20"/>
  <c r="D133" i="20"/>
  <c r="F132" i="20"/>
  <c r="E132" i="20"/>
  <c r="D132" i="20"/>
  <c r="F131" i="20"/>
  <c r="E131" i="20"/>
  <c r="D131" i="20"/>
  <c r="F130" i="20"/>
  <c r="E130" i="20"/>
  <c r="D130" i="20"/>
  <c r="F129" i="20"/>
  <c r="E129" i="20"/>
  <c r="D129" i="20"/>
  <c r="F128" i="20"/>
  <c r="E128" i="20"/>
  <c r="D128" i="20"/>
  <c r="F127" i="20"/>
  <c r="E127" i="20"/>
  <c r="D127" i="20"/>
  <c r="F126" i="20"/>
  <c r="E126" i="20"/>
  <c r="D126" i="20"/>
  <c r="F125" i="20"/>
  <c r="E125" i="20"/>
  <c r="D125" i="20"/>
  <c r="F124" i="20"/>
  <c r="E124" i="20"/>
  <c r="D124" i="20"/>
  <c r="F123" i="20"/>
  <c r="E123" i="20"/>
  <c r="D123" i="20"/>
  <c r="F122" i="20"/>
  <c r="E122" i="20"/>
  <c r="D122" i="20"/>
  <c r="F121" i="20"/>
  <c r="E121" i="20"/>
  <c r="D121" i="20"/>
  <c r="F120" i="20"/>
  <c r="E120" i="20"/>
  <c r="D120" i="20"/>
  <c r="F119" i="20"/>
  <c r="E119" i="20"/>
  <c r="D119" i="20"/>
  <c r="F118" i="20"/>
  <c r="E118" i="20"/>
  <c r="D118" i="20"/>
  <c r="F117" i="20"/>
  <c r="E117" i="20"/>
  <c r="D117" i="20"/>
  <c r="F116" i="20"/>
  <c r="E116" i="20"/>
  <c r="D116" i="20"/>
  <c r="F115" i="20"/>
  <c r="E115" i="20"/>
  <c r="D115" i="20"/>
  <c r="F114" i="20"/>
  <c r="E114" i="20"/>
  <c r="D114" i="20"/>
  <c r="F113" i="20"/>
  <c r="E113" i="20"/>
  <c r="D113" i="20"/>
  <c r="F112" i="20"/>
  <c r="E112" i="20"/>
  <c r="D112" i="20"/>
  <c r="F111" i="20"/>
  <c r="E111" i="20"/>
  <c r="D111" i="20"/>
  <c r="F110" i="20"/>
  <c r="E110" i="20"/>
  <c r="D110" i="20"/>
  <c r="F109" i="20"/>
  <c r="E109" i="20"/>
  <c r="D109" i="20"/>
  <c r="H74" i="20"/>
  <c r="G74" i="20"/>
  <c r="F74" i="20"/>
  <c r="E74" i="20"/>
  <c r="D74" i="20"/>
  <c r="H73" i="20"/>
  <c r="G73" i="20"/>
  <c r="F73" i="20"/>
  <c r="E73" i="20"/>
  <c r="D73" i="20"/>
  <c r="H72" i="20"/>
  <c r="G72" i="20"/>
  <c r="F72" i="20"/>
  <c r="D72" i="20"/>
  <c r="H71" i="20"/>
  <c r="G71" i="20"/>
  <c r="F71" i="20"/>
  <c r="E71" i="20"/>
  <c r="D71" i="20"/>
  <c r="M70" i="20"/>
  <c r="H70" i="20"/>
  <c r="G70" i="20"/>
  <c r="F70" i="20"/>
  <c r="E70" i="20"/>
  <c r="D70" i="20"/>
  <c r="H69" i="20"/>
  <c r="G69" i="20"/>
  <c r="F69" i="20"/>
  <c r="E69" i="20"/>
  <c r="D69" i="20"/>
  <c r="H68" i="20"/>
  <c r="G68" i="20"/>
  <c r="F68" i="20"/>
  <c r="E68" i="20"/>
  <c r="D68" i="20"/>
  <c r="H67" i="20"/>
  <c r="G67" i="20"/>
  <c r="F67" i="20"/>
  <c r="E67" i="20"/>
  <c r="D67" i="20"/>
  <c r="H66" i="20"/>
  <c r="G66" i="20"/>
  <c r="F66" i="20"/>
  <c r="E66" i="20"/>
  <c r="D66" i="20"/>
  <c r="H65" i="20"/>
  <c r="G65" i="20"/>
  <c r="F65" i="20"/>
  <c r="E65" i="20"/>
  <c r="D65" i="20"/>
  <c r="H64" i="20"/>
  <c r="G64" i="20"/>
  <c r="F64" i="20"/>
  <c r="E64" i="20"/>
  <c r="D64" i="20"/>
  <c r="H63" i="20"/>
  <c r="G63" i="20"/>
  <c r="F63" i="20"/>
  <c r="E63" i="20"/>
  <c r="D63" i="20"/>
  <c r="H62" i="20"/>
  <c r="G62" i="20"/>
  <c r="F62" i="20"/>
  <c r="E62" i="20"/>
  <c r="D62" i="20"/>
  <c r="H61" i="20"/>
  <c r="G61" i="20"/>
  <c r="F61" i="20"/>
  <c r="E61" i="20"/>
  <c r="D61" i="20"/>
  <c r="H60" i="20"/>
  <c r="G60" i="20"/>
  <c r="F60" i="20"/>
  <c r="E60" i="20"/>
  <c r="D60" i="20"/>
  <c r="H59" i="20"/>
  <c r="G59" i="20"/>
  <c r="F59" i="20"/>
  <c r="E59" i="20"/>
  <c r="D59" i="20"/>
  <c r="H58" i="20"/>
  <c r="G58" i="20"/>
  <c r="F58" i="20"/>
  <c r="E58" i="20"/>
  <c r="D58" i="20"/>
  <c r="H57" i="20"/>
  <c r="G57" i="20"/>
  <c r="F57" i="20"/>
  <c r="E57" i="20"/>
  <c r="D57" i="20"/>
  <c r="H56" i="20"/>
  <c r="G56" i="20"/>
  <c r="F56" i="20"/>
  <c r="E56" i="20"/>
  <c r="D56" i="20"/>
  <c r="M55" i="20"/>
  <c r="N55" i="20" s="1"/>
  <c r="H55" i="20"/>
  <c r="G55" i="20"/>
  <c r="F55" i="20"/>
  <c r="E55" i="20"/>
  <c r="D55" i="20"/>
  <c r="H54" i="20"/>
  <c r="G54" i="20"/>
  <c r="F54" i="20"/>
  <c r="E54" i="20"/>
  <c r="D54" i="20"/>
  <c r="H53" i="20"/>
  <c r="G53" i="20"/>
  <c r="F53" i="20"/>
  <c r="E53" i="20"/>
  <c r="D53" i="20"/>
  <c r="M52" i="20"/>
  <c r="H52" i="20"/>
  <c r="G52" i="20"/>
  <c r="F52" i="20"/>
  <c r="E52" i="20"/>
  <c r="D52" i="20"/>
  <c r="H51" i="20"/>
  <c r="G51" i="20"/>
  <c r="F51" i="20"/>
  <c r="E51" i="20"/>
  <c r="D51" i="20"/>
  <c r="G50" i="20"/>
  <c r="F50" i="20"/>
  <c r="E50" i="20"/>
  <c r="D50" i="20"/>
  <c r="M49" i="20"/>
  <c r="N49" i="20" s="1"/>
  <c r="H49" i="20"/>
  <c r="G49" i="20"/>
  <c r="F49" i="20"/>
  <c r="E49" i="20"/>
  <c r="D49" i="20"/>
  <c r="Q45" i="20"/>
  <c r="E43" i="20"/>
  <c r="E72" i="20" s="1"/>
  <c r="M34" i="20"/>
  <c r="S27" i="20"/>
  <c r="N26" i="20"/>
  <c r="D16" i="20"/>
  <c r="D14" i="20"/>
  <c r="M12" i="20"/>
  <c r="E12" i="20"/>
  <c r="D12" i="20"/>
  <c r="M11" i="20"/>
  <c r="Y13" i="20" s="1"/>
  <c r="D11" i="20"/>
  <c r="F11" i="20" s="1"/>
  <c r="V10" i="20"/>
  <c r="E14" i="20" s="1"/>
  <c r="M10" i="20"/>
  <c r="S13" i="20" s="1"/>
  <c r="M9" i="20"/>
  <c r="V8" i="20"/>
  <c r="M8" i="20"/>
  <c r="M74" i="20" s="1"/>
  <c r="D8" i="20"/>
  <c r="M7" i="20"/>
  <c r="M6" i="20"/>
  <c r="M5" i="20"/>
  <c r="AA4" i="20"/>
  <c r="S4" i="20"/>
  <c r="M4" i="20"/>
  <c r="V13" i="20" s="1"/>
  <c r="M70" i="4"/>
  <c r="Q45" i="4"/>
  <c r="D58" i="4"/>
  <c r="D50" i="4"/>
  <c r="E50" i="4"/>
  <c r="F50" i="4"/>
  <c r="G50" i="4"/>
  <c r="D51" i="4"/>
  <c r="E51" i="4"/>
  <c r="F51" i="4"/>
  <c r="G51" i="4"/>
  <c r="H51" i="4"/>
  <c r="D52" i="4"/>
  <c r="E52" i="4"/>
  <c r="F52" i="4"/>
  <c r="G52" i="4"/>
  <c r="H52" i="4"/>
  <c r="D53" i="4"/>
  <c r="E53" i="4"/>
  <c r="F53" i="4"/>
  <c r="G53" i="4"/>
  <c r="H53" i="4"/>
  <c r="D54" i="4"/>
  <c r="E54" i="4"/>
  <c r="F54" i="4"/>
  <c r="G54" i="4"/>
  <c r="H54" i="4"/>
  <c r="D55" i="4"/>
  <c r="E55" i="4"/>
  <c r="F55" i="4"/>
  <c r="G55" i="4"/>
  <c r="H55" i="4"/>
  <c r="D56" i="4"/>
  <c r="E56" i="4"/>
  <c r="F56" i="4"/>
  <c r="G56" i="4"/>
  <c r="H56" i="4"/>
  <c r="D57" i="4"/>
  <c r="E57" i="4"/>
  <c r="F57" i="4"/>
  <c r="G57" i="4"/>
  <c r="H57" i="4"/>
  <c r="E58" i="4"/>
  <c r="F58" i="4"/>
  <c r="G58" i="4"/>
  <c r="H58" i="4"/>
  <c r="D59" i="4"/>
  <c r="E59" i="4"/>
  <c r="F59" i="4"/>
  <c r="G59" i="4"/>
  <c r="H59" i="4"/>
  <c r="D60" i="4"/>
  <c r="E60" i="4"/>
  <c r="F60" i="4"/>
  <c r="G60" i="4"/>
  <c r="H60" i="4"/>
  <c r="D61" i="4"/>
  <c r="E61" i="4"/>
  <c r="F61" i="4"/>
  <c r="G61" i="4"/>
  <c r="H61" i="4"/>
  <c r="D62" i="4"/>
  <c r="E62" i="4"/>
  <c r="F62" i="4"/>
  <c r="G62" i="4"/>
  <c r="H62" i="4"/>
  <c r="D63" i="4"/>
  <c r="E63" i="4"/>
  <c r="F63" i="4"/>
  <c r="G63" i="4"/>
  <c r="H63" i="4"/>
  <c r="D64" i="4"/>
  <c r="E64" i="4"/>
  <c r="F64" i="4"/>
  <c r="G64" i="4"/>
  <c r="H64" i="4"/>
  <c r="D65" i="4"/>
  <c r="E65" i="4"/>
  <c r="F65" i="4"/>
  <c r="G65" i="4"/>
  <c r="H65" i="4"/>
  <c r="D66" i="4"/>
  <c r="E66" i="4"/>
  <c r="F66" i="4"/>
  <c r="G66" i="4"/>
  <c r="H66" i="4"/>
  <c r="D67" i="4"/>
  <c r="E67" i="4"/>
  <c r="F67" i="4"/>
  <c r="G67" i="4"/>
  <c r="H67" i="4"/>
  <c r="D68" i="4"/>
  <c r="E68" i="4"/>
  <c r="F68" i="4"/>
  <c r="G68" i="4"/>
  <c r="H68" i="4"/>
  <c r="D69" i="4"/>
  <c r="E69" i="4"/>
  <c r="F69" i="4"/>
  <c r="G69" i="4"/>
  <c r="H69" i="4"/>
  <c r="D70" i="4"/>
  <c r="E70" i="4"/>
  <c r="F70" i="4"/>
  <c r="G70" i="4"/>
  <c r="H70" i="4"/>
  <c r="D71" i="4"/>
  <c r="E71" i="4"/>
  <c r="F71" i="4"/>
  <c r="G71" i="4"/>
  <c r="H71" i="4"/>
  <c r="D72" i="4"/>
  <c r="F72" i="4"/>
  <c r="G72" i="4"/>
  <c r="H72" i="4"/>
  <c r="D73" i="4"/>
  <c r="E73" i="4"/>
  <c r="F73" i="4"/>
  <c r="G73" i="4"/>
  <c r="H73" i="4"/>
  <c r="D74" i="4"/>
  <c r="E74" i="4"/>
  <c r="F74" i="4"/>
  <c r="G74" i="4"/>
  <c r="H74" i="4"/>
  <c r="S4" i="4"/>
  <c r="AA64" i="16"/>
  <c r="AA63" i="16"/>
  <c r="O70" i="18"/>
  <c r="N52" i="18"/>
  <c r="O52" i="18"/>
  <c r="O49" i="18"/>
  <c r="N65" i="18"/>
  <c r="E16" i="18"/>
  <c r="D16" i="18"/>
  <c r="E14" i="18"/>
  <c r="D14" i="18"/>
  <c r="F14" i="18" s="1"/>
  <c r="N27" i="18" s="1"/>
  <c r="E11" i="18"/>
  <c r="N53" i="18" s="1"/>
  <c r="N54" i="18" s="1"/>
  <c r="N67" i="18" s="1"/>
  <c r="D11" i="18"/>
  <c r="F9" i="18"/>
  <c r="E8" i="18"/>
  <c r="E9" i="18"/>
  <c r="D9" i="18"/>
  <c r="D8" i="18"/>
  <c r="N49" i="18" s="1"/>
  <c r="F135" i="18"/>
  <c r="E135" i="18"/>
  <c r="D135" i="18"/>
  <c r="F134" i="18"/>
  <c r="E134" i="18"/>
  <c r="D134" i="18"/>
  <c r="F133" i="18"/>
  <c r="E133" i="18"/>
  <c r="D133" i="18"/>
  <c r="F132" i="18"/>
  <c r="E132" i="18"/>
  <c r="D132" i="18"/>
  <c r="F131" i="18"/>
  <c r="E131" i="18"/>
  <c r="D131" i="18"/>
  <c r="F130" i="18"/>
  <c r="E130" i="18"/>
  <c r="D130" i="18"/>
  <c r="F129" i="18"/>
  <c r="E129" i="18"/>
  <c r="D129" i="18"/>
  <c r="F128" i="18"/>
  <c r="E128" i="18"/>
  <c r="D128" i="18"/>
  <c r="F127" i="18"/>
  <c r="E127" i="18"/>
  <c r="D127" i="18"/>
  <c r="F126" i="18"/>
  <c r="E126" i="18"/>
  <c r="D126" i="18"/>
  <c r="F125" i="18"/>
  <c r="E125" i="18"/>
  <c r="D125" i="18"/>
  <c r="F124" i="18"/>
  <c r="E124" i="18"/>
  <c r="D124" i="18"/>
  <c r="F123" i="18"/>
  <c r="E123" i="18"/>
  <c r="D123" i="18"/>
  <c r="F122" i="18"/>
  <c r="E122" i="18"/>
  <c r="D122" i="18"/>
  <c r="F121" i="18"/>
  <c r="E121" i="18"/>
  <c r="D121" i="18"/>
  <c r="F120" i="18"/>
  <c r="E120" i="18"/>
  <c r="D120" i="18"/>
  <c r="F119" i="18"/>
  <c r="E119" i="18"/>
  <c r="D119" i="18"/>
  <c r="F118" i="18"/>
  <c r="E118" i="18"/>
  <c r="D118" i="18"/>
  <c r="F117" i="18"/>
  <c r="E117" i="18"/>
  <c r="D117" i="18"/>
  <c r="F116" i="18"/>
  <c r="E116" i="18"/>
  <c r="D116" i="18"/>
  <c r="F115" i="18"/>
  <c r="E115" i="18"/>
  <c r="D115" i="18"/>
  <c r="F114" i="18"/>
  <c r="E114" i="18"/>
  <c r="D114" i="18"/>
  <c r="F113" i="18"/>
  <c r="E113" i="18"/>
  <c r="D113" i="18"/>
  <c r="D136" i="18" s="1"/>
  <c r="J86" i="18" s="1"/>
  <c r="H80" i="18"/>
  <c r="G80" i="18"/>
  <c r="F80" i="18"/>
  <c r="E80" i="18"/>
  <c r="D80" i="18"/>
  <c r="H79" i="18"/>
  <c r="G79" i="18"/>
  <c r="F79" i="18"/>
  <c r="E79" i="18"/>
  <c r="D79" i="18"/>
  <c r="H78" i="18"/>
  <c r="G78" i="18"/>
  <c r="F78" i="18"/>
  <c r="D78" i="18"/>
  <c r="H77" i="18"/>
  <c r="G77" i="18"/>
  <c r="F77" i="18"/>
  <c r="E77" i="18"/>
  <c r="D77" i="18"/>
  <c r="H76" i="18"/>
  <c r="G76" i="18"/>
  <c r="F76" i="18"/>
  <c r="E76" i="18"/>
  <c r="D76" i="18"/>
  <c r="H75" i="18"/>
  <c r="G75" i="18"/>
  <c r="F75" i="18"/>
  <c r="E75" i="18"/>
  <c r="D75" i="18"/>
  <c r="H74" i="18"/>
  <c r="G74" i="18"/>
  <c r="F74" i="18"/>
  <c r="E74" i="18"/>
  <c r="D74" i="18"/>
  <c r="H73" i="18"/>
  <c r="G73" i="18"/>
  <c r="F73" i="18"/>
  <c r="E73" i="18"/>
  <c r="D73" i="18"/>
  <c r="H72" i="18"/>
  <c r="G72" i="18"/>
  <c r="F72" i="18"/>
  <c r="E72" i="18"/>
  <c r="D72" i="18"/>
  <c r="H71" i="18"/>
  <c r="G71" i="18"/>
  <c r="F71" i="18"/>
  <c r="E71" i="18"/>
  <c r="D71" i="18"/>
  <c r="H70" i="18"/>
  <c r="G70" i="18"/>
  <c r="F70" i="18"/>
  <c r="E70" i="18"/>
  <c r="D70" i="18"/>
  <c r="H69" i="18"/>
  <c r="G69" i="18"/>
  <c r="F69" i="18"/>
  <c r="E69" i="18"/>
  <c r="D69" i="18"/>
  <c r="H68" i="18"/>
  <c r="G68" i="18"/>
  <c r="F68" i="18"/>
  <c r="E68" i="18"/>
  <c r="D68" i="18"/>
  <c r="H67" i="18"/>
  <c r="G67" i="18"/>
  <c r="F67" i="18"/>
  <c r="E67" i="18"/>
  <c r="D67" i="18"/>
  <c r="H66" i="18"/>
  <c r="G66" i="18"/>
  <c r="F66" i="18"/>
  <c r="E66" i="18"/>
  <c r="D66" i="18"/>
  <c r="H65" i="18"/>
  <c r="G65" i="18"/>
  <c r="F65" i="18"/>
  <c r="E65" i="18"/>
  <c r="D65" i="18"/>
  <c r="H64" i="18"/>
  <c r="G64" i="18"/>
  <c r="F64" i="18"/>
  <c r="E64" i="18"/>
  <c r="D64" i="18"/>
  <c r="H63" i="18"/>
  <c r="G63" i="18"/>
  <c r="F63" i="18"/>
  <c r="E63" i="18"/>
  <c r="D63" i="18"/>
  <c r="H62" i="18"/>
  <c r="G62" i="18"/>
  <c r="F62" i="18"/>
  <c r="E62" i="18"/>
  <c r="D62" i="18"/>
  <c r="H61" i="18"/>
  <c r="G61" i="18"/>
  <c r="F61" i="18"/>
  <c r="E61" i="18"/>
  <c r="D61" i="18"/>
  <c r="H60" i="18"/>
  <c r="G60" i="18"/>
  <c r="F60" i="18"/>
  <c r="E60" i="18"/>
  <c r="D60" i="18"/>
  <c r="H59" i="18"/>
  <c r="G59" i="18"/>
  <c r="F59" i="18"/>
  <c r="E59" i="18"/>
  <c r="D59" i="18"/>
  <c r="H58" i="18"/>
  <c r="G58" i="18"/>
  <c r="F58" i="18"/>
  <c r="E58" i="18"/>
  <c r="D58" i="18"/>
  <c r="H57" i="18"/>
  <c r="G57" i="18"/>
  <c r="F57" i="18"/>
  <c r="E57" i="18"/>
  <c r="D57" i="18"/>
  <c r="H56" i="18"/>
  <c r="G56" i="18"/>
  <c r="F56" i="18"/>
  <c r="E56" i="18"/>
  <c r="D56" i="18"/>
  <c r="H55" i="18"/>
  <c r="G55" i="18"/>
  <c r="F55" i="18"/>
  <c r="E55" i="18"/>
  <c r="D55" i="18"/>
  <c r="H54" i="18"/>
  <c r="G54" i="18"/>
  <c r="F54" i="18"/>
  <c r="E54" i="18"/>
  <c r="D54" i="18"/>
  <c r="G53" i="18"/>
  <c r="F53" i="18"/>
  <c r="E53" i="18"/>
  <c r="D53" i="18"/>
  <c r="H52" i="18"/>
  <c r="G52" i="18"/>
  <c r="F52" i="18"/>
  <c r="E52" i="18"/>
  <c r="D52" i="18"/>
  <c r="E46" i="18"/>
  <c r="E78" i="18" s="1"/>
  <c r="S45" i="18"/>
  <c r="S46" i="18" s="1"/>
  <c r="P53" i="18" s="1"/>
  <c r="L35" i="18"/>
  <c r="N34" i="18"/>
  <c r="N28" i="18"/>
  <c r="S27" i="18"/>
  <c r="S17" i="18"/>
  <c r="S15" i="18"/>
  <c r="Y14" i="18"/>
  <c r="S14" i="18"/>
  <c r="M12" i="18"/>
  <c r="M11" i="18"/>
  <c r="Y13" i="18" s="1"/>
  <c r="M10" i="18"/>
  <c r="S13" i="18" s="1"/>
  <c r="M9" i="18"/>
  <c r="V8" i="18"/>
  <c r="M8" i="18"/>
  <c r="M7" i="18"/>
  <c r="M6" i="18"/>
  <c r="AA5" i="18"/>
  <c r="M5" i="18"/>
  <c r="AA4" i="18"/>
  <c r="S4" i="18"/>
  <c r="M4" i="18"/>
  <c r="Z48" i="16"/>
  <c r="Z47" i="16"/>
  <c r="D54" i="16"/>
  <c r="E54" i="16"/>
  <c r="F54" i="16"/>
  <c r="G54" i="16"/>
  <c r="D55" i="16"/>
  <c r="E55" i="16"/>
  <c r="F55" i="16"/>
  <c r="G55" i="16"/>
  <c r="H55" i="16"/>
  <c r="D56" i="16"/>
  <c r="E56" i="16"/>
  <c r="F56" i="16"/>
  <c r="G56" i="16"/>
  <c r="H56" i="16"/>
  <c r="D57" i="16"/>
  <c r="E57" i="16"/>
  <c r="F57" i="16"/>
  <c r="G57" i="16"/>
  <c r="H57" i="16"/>
  <c r="D58" i="16"/>
  <c r="E58" i="16"/>
  <c r="F58" i="16"/>
  <c r="G58" i="16"/>
  <c r="H58" i="16"/>
  <c r="D59" i="16"/>
  <c r="E59" i="16"/>
  <c r="F59" i="16"/>
  <c r="G59" i="16"/>
  <c r="H59" i="16"/>
  <c r="D60" i="16"/>
  <c r="E60" i="16"/>
  <c r="F60" i="16"/>
  <c r="G60" i="16"/>
  <c r="H60" i="16"/>
  <c r="D61" i="16"/>
  <c r="E61" i="16"/>
  <c r="F61" i="16"/>
  <c r="G61" i="16"/>
  <c r="H61" i="16"/>
  <c r="D62" i="16"/>
  <c r="E62" i="16"/>
  <c r="F62" i="16"/>
  <c r="G62" i="16"/>
  <c r="H62" i="16"/>
  <c r="D63" i="16"/>
  <c r="E63" i="16"/>
  <c r="F63" i="16"/>
  <c r="G63" i="16"/>
  <c r="H63" i="16"/>
  <c r="D64" i="16"/>
  <c r="E64" i="16"/>
  <c r="F64" i="16"/>
  <c r="G64" i="16"/>
  <c r="H64" i="16"/>
  <c r="D65" i="16"/>
  <c r="E65" i="16"/>
  <c r="F65" i="16"/>
  <c r="G65" i="16"/>
  <c r="H65" i="16"/>
  <c r="D66" i="16"/>
  <c r="E66" i="16"/>
  <c r="F66" i="16"/>
  <c r="G66" i="16"/>
  <c r="H66" i="16"/>
  <c r="D67" i="16"/>
  <c r="E67" i="16"/>
  <c r="F67" i="16"/>
  <c r="G67" i="16"/>
  <c r="H67" i="16"/>
  <c r="D68" i="16"/>
  <c r="E68" i="16"/>
  <c r="F68" i="16"/>
  <c r="G68" i="16"/>
  <c r="H68" i="16"/>
  <c r="D69" i="16"/>
  <c r="E69" i="16"/>
  <c r="F69" i="16"/>
  <c r="G69" i="16"/>
  <c r="H69" i="16"/>
  <c r="D70" i="16"/>
  <c r="E70" i="16"/>
  <c r="F70" i="16"/>
  <c r="G70" i="16"/>
  <c r="H70" i="16"/>
  <c r="D71" i="16"/>
  <c r="E71" i="16"/>
  <c r="F71" i="16"/>
  <c r="G71" i="16"/>
  <c r="H71" i="16"/>
  <c r="D72" i="16"/>
  <c r="E72" i="16"/>
  <c r="F72" i="16"/>
  <c r="G72" i="16"/>
  <c r="H72" i="16"/>
  <c r="D73" i="16"/>
  <c r="E73" i="16"/>
  <c r="F73" i="16"/>
  <c r="G73" i="16"/>
  <c r="H73" i="16"/>
  <c r="D74" i="16"/>
  <c r="E74" i="16"/>
  <c r="F74" i="16"/>
  <c r="G74" i="16"/>
  <c r="H74" i="16"/>
  <c r="D75" i="16"/>
  <c r="E75" i="16"/>
  <c r="F75" i="16"/>
  <c r="G75" i="16"/>
  <c r="H75" i="16"/>
  <c r="D76" i="16"/>
  <c r="E76" i="16"/>
  <c r="F76" i="16"/>
  <c r="G76" i="16"/>
  <c r="H76" i="16"/>
  <c r="D77" i="16"/>
  <c r="E77" i="16"/>
  <c r="F77" i="16"/>
  <c r="G77" i="16"/>
  <c r="H77" i="16"/>
  <c r="D78" i="16"/>
  <c r="E78" i="16"/>
  <c r="F78" i="16"/>
  <c r="G78" i="16"/>
  <c r="H78" i="16"/>
  <c r="D79" i="16"/>
  <c r="E79" i="16"/>
  <c r="F79" i="16"/>
  <c r="G79" i="16"/>
  <c r="H79" i="16"/>
  <c r="D80" i="16"/>
  <c r="F80" i="16"/>
  <c r="G80" i="16"/>
  <c r="H80" i="16"/>
  <c r="D81" i="16"/>
  <c r="E81" i="16"/>
  <c r="F81" i="16"/>
  <c r="G81" i="16"/>
  <c r="H81" i="16"/>
  <c r="D82" i="16"/>
  <c r="E82" i="16"/>
  <c r="F82" i="16"/>
  <c r="G82" i="16"/>
  <c r="H82" i="16"/>
  <c r="E16" i="16"/>
  <c r="D16" i="16"/>
  <c r="D14" i="16"/>
  <c r="D8" i="16"/>
  <c r="E137" i="16"/>
  <c r="D137" i="16"/>
  <c r="E136" i="16"/>
  <c r="D136" i="16"/>
  <c r="E135" i="16"/>
  <c r="D135" i="16"/>
  <c r="E134" i="16"/>
  <c r="D134" i="16"/>
  <c r="E133" i="16"/>
  <c r="D133" i="16"/>
  <c r="E132" i="16"/>
  <c r="D132" i="16"/>
  <c r="E131" i="16"/>
  <c r="D131" i="16"/>
  <c r="E130" i="16"/>
  <c r="D130" i="16"/>
  <c r="E129" i="16"/>
  <c r="D129" i="16"/>
  <c r="E128" i="16"/>
  <c r="D128" i="16"/>
  <c r="E127" i="16"/>
  <c r="D127" i="16"/>
  <c r="E126" i="16"/>
  <c r="D126" i="16"/>
  <c r="E125" i="16"/>
  <c r="D125" i="16"/>
  <c r="E124" i="16"/>
  <c r="D124" i="16"/>
  <c r="E123" i="16"/>
  <c r="D123" i="16"/>
  <c r="E122" i="16"/>
  <c r="D122" i="16"/>
  <c r="E121" i="16"/>
  <c r="D121" i="16"/>
  <c r="E120" i="16"/>
  <c r="D120" i="16"/>
  <c r="E119" i="16"/>
  <c r="D119" i="16"/>
  <c r="E118" i="16"/>
  <c r="D118" i="16"/>
  <c r="E117" i="16"/>
  <c r="D117" i="16"/>
  <c r="E116" i="16"/>
  <c r="D116" i="16"/>
  <c r="E115" i="16"/>
  <c r="D115" i="16"/>
  <c r="N74" i="16"/>
  <c r="O53" i="16"/>
  <c r="H53" i="16"/>
  <c r="G53" i="16"/>
  <c r="F53" i="16"/>
  <c r="E53" i="16"/>
  <c r="D53" i="16"/>
  <c r="O50" i="16"/>
  <c r="O47" i="16"/>
  <c r="E47" i="16"/>
  <c r="E80" i="16" s="1"/>
  <c r="R42" i="16"/>
  <c r="S27" i="16"/>
  <c r="M12" i="16"/>
  <c r="M11" i="16"/>
  <c r="M10" i="16"/>
  <c r="S13" i="16" s="1"/>
  <c r="M9" i="16"/>
  <c r="V8" i="16"/>
  <c r="M8" i="16"/>
  <c r="M7" i="16"/>
  <c r="M6" i="16"/>
  <c r="AA5" i="16"/>
  <c r="M5" i="16"/>
  <c r="AA4" i="16"/>
  <c r="S4" i="16"/>
  <c r="M4" i="16"/>
  <c r="V13" i="16" s="1"/>
  <c r="Y13" i="16" l="1"/>
  <c r="V48" i="16"/>
  <c r="V51" i="16" s="1"/>
  <c r="W51" i="16" s="1"/>
  <c r="G75" i="21"/>
  <c r="M20" i="21" s="1"/>
  <c r="L69" i="24"/>
  <c r="M65" i="24"/>
  <c r="M69" i="24" s="1"/>
  <c r="M72" i="24" s="1"/>
  <c r="M76" i="24" s="1"/>
  <c r="AB37" i="23"/>
  <c r="N67" i="23"/>
  <c r="N72" i="23" s="1"/>
  <c r="V84" i="23"/>
  <c r="M67" i="23"/>
  <c r="M72" i="23" s="1"/>
  <c r="AB23" i="23"/>
  <c r="Z23" i="23"/>
  <c r="AB27" i="23"/>
  <c r="Z27" i="23"/>
  <c r="M28" i="16"/>
  <c r="M75" i="16"/>
  <c r="N75" i="16" s="1"/>
  <c r="F75" i="20"/>
  <c r="L20" i="20" s="1"/>
  <c r="V14" i="20" s="1"/>
  <c r="V15" i="20" s="1"/>
  <c r="V17" i="20" s="1"/>
  <c r="G75" i="20"/>
  <c r="M20" i="20" s="1"/>
  <c r="F14" i="20"/>
  <c r="S84" i="22"/>
  <c r="T84" i="22" s="1"/>
  <c r="V84" i="22" s="1"/>
  <c r="AF26" i="22"/>
  <c r="AH26" i="22" s="1"/>
  <c r="U83" i="22"/>
  <c r="AD23" i="22"/>
  <c r="Y23" i="22"/>
  <c r="AB23" i="22" s="1"/>
  <c r="AD25" i="22"/>
  <c r="AD24" i="22"/>
  <c r="Y25" i="22"/>
  <c r="AB25" i="22" s="1"/>
  <c r="Y20" i="22"/>
  <c r="U32" i="22" s="1"/>
  <c r="V23" i="22"/>
  <c r="Y24" i="22"/>
  <c r="AB24" i="22" s="1"/>
  <c r="Y26" i="22"/>
  <c r="AB26" i="22" s="1"/>
  <c r="V25" i="22"/>
  <c r="V24" i="22"/>
  <c r="Y27" i="22"/>
  <c r="AB27" i="22" s="1"/>
  <c r="V26" i="22"/>
  <c r="H21" i="22"/>
  <c r="H54" i="22" s="1"/>
  <c r="H83" i="22" s="1"/>
  <c r="N20" i="22" s="1"/>
  <c r="P8" i="22" s="1"/>
  <c r="V27" i="22"/>
  <c r="M29" i="22"/>
  <c r="M25" i="22"/>
  <c r="M30" i="22" s="1"/>
  <c r="M39" i="22" s="1"/>
  <c r="M63" i="22"/>
  <c r="F134" i="21"/>
  <c r="L79" i="21" s="1"/>
  <c r="D134" i="21"/>
  <c r="J79" i="21" s="1"/>
  <c r="E134" i="21"/>
  <c r="K79" i="21" s="1"/>
  <c r="AA8" i="21" s="1"/>
  <c r="AA10" i="21" s="1"/>
  <c r="M75" i="21" s="1"/>
  <c r="D75" i="21"/>
  <c r="J20" i="21" s="1"/>
  <c r="S16" i="21" s="1"/>
  <c r="S18" i="21" s="1"/>
  <c r="F75" i="21"/>
  <c r="L20" i="21" s="1"/>
  <c r="V14" i="21" s="1"/>
  <c r="V15" i="21" s="1"/>
  <c r="N74" i="18"/>
  <c r="P54" i="18"/>
  <c r="M36" i="16"/>
  <c r="D134" i="20"/>
  <c r="J79" i="20" s="1"/>
  <c r="P4" i="20" s="1"/>
  <c r="E134" i="20"/>
  <c r="K79" i="20" s="1"/>
  <c r="AA8" i="20" s="1"/>
  <c r="AA11" i="20" s="1"/>
  <c r="F134" i="20"/>
  <c r="L79" i="20" s="1"/>
  <c r="D75" i="20"/>
  <c r="J20" i="20" s="1"/>
  <c r="S16" i="20" s="1"/>
  <c r="F12" i="20"/>
  <c r="E75" i="20"/>
  <c r="K20" i="20" s="1"/>
  <c r="Y16" i="20" s="1"/>
  <c r="Y18" i="20" s="1"/>
  <c r="E11" i="21"/>
  <c r="F11" i="21" s="1"/>
  <c r="E16" i="21"/>
  <c r="F16" i="21" s="1"/>
  <c r="E75" i="21"/>
  <c r="K20" i="21" s="1"/>
  <c r="P9" i="21"/>
  <c r="M66" i="4"/>
  <c r="L55" i="20"/>
  <c r="L67" i="20" s="1"/>
  <c r="M67" i="20" s="1"/>
  <c r="AA65" i="16"/>
  <c r="F81" i="18"/>
  <c r="L20" i="18" s="1"/>
  <c r="V14" i="18" s="1"/>
  <c r="F136" i="18"/>
  <c r="L86" i="18" s="1"/>
  <c r="E136" i="18"/>
  <c r="K86" i="18" s="1"/>
  <c r="AA8" i="18" s="1"/>
  <c r="G81" i="18"/>
  <c r="M20" i="18" s="1"/>
  <c r="D81" i="18"/>
  <c r="J20" i="18" s="1"/>
  <c r="S16" i="18" s="1"/>
  <c r="S18" i="18" s="1"/>
  <c r="S20" i="18" s="1"/>
  <c r="F16" i="18"/>
  <c r="N25" i="18"/>
  <c r="F8" i="18"/>
  <c r="N66" i="18" s="1"/>
  <c r="E81" i="18"/>
  <c r="K20" i="18" s="1"/>
  <c r="Y16" i="18" s="1"/>
  <c r="V72" i="18"/>
  <c r="Y69" i="18" s="1"/>
  <c r="Y70" i="18" s="1"/>
  <c r="P49" i="18"/>
  <c r="O66" i="18" s="1"/>
  <c r="P57" i="18"/>
  <c r="O68" i="18" s="1"/>
  <c r="P52" i="18"/>
  <c r="O67" i="18" s="1"/>
  <c r="O69" i="18" s="1"/>
  <c r="P4" i="18"/>
  <c r="S6" i="18"/>
  <c r="S8" i="18" s="1"/>
  <c r="AA10" i="18"/>
  <c r="K88" i="18" s="1"/>
  <c r="V13" i="18"/>
  <c r="N57" i="18"/>
  <c r="N68" i="18" s="1"/>
  <c r="P5" i="18"/>
  <c r="F83" i="16"/>
  <c r="L20" i="16" s="1"/>
  <c r="V14" i="16" s="1"/>
  <c r="V16" i="16" s="1"/>
  <c r="E83" i="16"/>
  <c r="K20" i="16" s="1"/>
  <c r="D83" i="16"/>
  <c r="J20" i="16" s="1"/>
  <c r="S16" i="16" s="1"/>
  <c r="G83" i="16"/>
  <c r="M20" i="16" s="1"/>
  <c r="F16" i="16"/>
  <c r="D138" i="16"/>
  <c r="L88" i="16" s="1"/>
  <c r="E138" i="16"/>
  <c r="M88" i="16" s="1"/>
  <c r="P5" i="16" s="1"/>
  <c r="F138" i="16"/>
  <c r="N88" i="16" s="1"/>
  <c r="Y17" i="15"/>
  <c r="S17" i="15"/>
  <c r="M66" i="15"/>
  <c r="N53" i="15"/>
  <c r="O53" i="15" s="1"/>
  <c r="N47" i="15"/>
  <c r="O47" i="15" s="1"/>
  <c r="E16" i="15"/>
  <c r="D16" i="15"/>
  <c r="F16" i="15" s="1"/>
  <c r="E14" i="15"/>
  <c r="D14" i="15"/>
  <c r="D11" i="15"/>
  <c r="F135" i="15"/>
  <c r="E135" i="15"/>
  <c r="D135" i="15"/>
  <c r="F134" i="15"/>
  <c r="E134" i="15"/>
  <c r="D134" i="15"/>
  <c r="F133" i="15"/>
  <c r="E133" i="15"/>
  <c r="D133" i="15"/>
  <c r="F132" i="15"/>
  <c r="E132" i="15"/>
  <c r="D132" i="15"/>
  <c r="F131" i="15"/>
  <c r="E131" i="15"/>
  <c r="D131" i="15"/>
  <c r="F130" i="15"/>
  <c r="E130" i="15"/>
  <c r="D130" i="15"/>
  <c r="F129" i="15"/>
  <c r="E129" i="15"/>
  <c r="D129" i="15"/>
  <c r="F128" i="15"/>
  <c r="E128" i="15"/>
  <c r="D128" i="15"/>
  <c r="F127" i="15"/>
  <c r="E127" i="15"/>
  <c r="D127" i="15"/>
  <c r="F126" i="15"/>
  <c r="E126" i="15"/>
  <c r="D126" i="15"/>
  <c r="F125" i="15"/>
  <c r="E125" i="15"/>
  <c r="D125" i="15"/>
  <c r="F124" i="15"/>
  <c r="E124" i="15"/>
  <c r="D124" i="15"/>
  <c r="F123" i="15"/>
  <c r="E123" i="15"/>
  <c r="D123" i="15"/>
  <c r="F122" i="15"/>
  <c r="E122" i="15"/>
  <c r="D122" i="15"/>
  <c r="F121" i="15"/>
  <c r="E121" i="15"/>
  <c r="D121" i="15"/>
  <c r="F120" i="15"/>
  <c r="E120" i="15"/>
  <c r="D120" i="15"/>
  <c r="F119" i="15"/>
  <c r="E119" i="15"/>
  <c r="D119" i="15"/>
  <c r="F118" i="15"/>
  <c r="E118" i="15"/>
  <c r="D118" i="15"/>
  <c r="F117" i="15"/>
  <c r="E117" i="15"/>
  <c r="D117" i="15"/>
  <c r="F116" i="15"/>
  <c r="E116" i="15"/>
  <c r="D116" i="15"/>
  <c r="F115" i="15"/>
  <c r="E115" i="15"/>
  <c r="D115" i="15"/>
  <c r="F114" i="15"/>
  <c r="E114" i="15"/>
  <c r="D114" i="15"/>
  <c r="F113" i="15"/>
  <c r="E113" i="15"/>
  <c r="D113" i="15"/>
  <c r="H80" i="15"/>
  <c r="G80" i="15"/>
  <c r="F80" i="15"/>
  <c r="E80" i="15"/>
  <c r="D80" i="15"/>
  <c r="H79" i="15"/>
  <c r="G79" i="15"/>
  <c r="F79" i="15"/>
  <c r="E79" i="15"/>
  <c r="D79" i="15"/>
  <c r="H78" i="15"/>
  <c r="G78" i="15"/>
  <c r="F78" i="15"/>
  <c r="D78" i="15"/>
  <c r="H77" i="15"/>
  <c r="G77" i="15"/>
  <c r="F77" i="15"/>
  <c r="E77" i="15"/>
  <c r="D77" i="15"/>
  <c r="H76" i="15"/>
  <c r="G76" i="15"/>
  <c r="F76" i="15"/>
  <c r="E76" i="15"/>
  <c r="D76" i="15"/>
  <c r="H75" i="15"/>
  <c r="G75" i="15"/>
  <c r="F75" i="15"/>
  <c r="E75" i="15"/>
  <c r="D75" i="15"/>
  <c r="H74" i="15"/>
  <c r="G74" i="15"/>
  <c r="F74" i="15"/>
  <c r="E74" i="15"/>
  <c r="D74" i="15"/>
  <c r="H73" i="15"/>
  <c r="G73" i="15"/>
  <c r="F73" i="15"/>
  <c r="E73" i="15"/>
  <c r="D73" i="15"/>
  <c r="H72" i="15"/>
  <c r="G72" i="15"/>
  <c r="F72" i="15"/>
  <c r="E72" i="15"/>
  <c r="D72" i="15"/>
  <c r="H71" i="15"/>
  <c r="G71" i="15"/>
  <c r="F71" i="15"/>
  <c r="E71" i="15"/>
  <c r="D71" i="15"/>
  <c r="H70" i="15"/>
  <c r="G70" i="15"/>
  <c r="F70" i="15"/>
  <c r="E70" i="15"/>
  <c r="D70" i="15"/>
  <c r="H69" i="15"/>
  <c r="G69" i="15"/>
  <c r="F69" i="15"/>
  <c r="E69" i="15"/>
  <c r="D69" i="15"/>
  <c r="H68" i="15"/>
  <c r="G68" i="15"/>
  <c r="F68" i="15"/>
  <c r="E68" i="15"/>
  <c r="D68" i="15"/>
  <c r="N68" i="15"/>
  <c r="H67" i="15"/>
  <c r="G67" i="15"/>
  <c r="F67" i="15"/>
  <c r="E67" i="15"/>
  <c r="D67" i="15"/>
  <c r="H66" i="15"/>
  <c r="G66" i="15"/>
  <c r="F66" i="15"/>
  <c r="E66" i="15"/>
  <c r="D66" i="15"/>
  <c r="H65" i="15"/>
  <c r="G65" i="15"/>
  <c r="F65" i="15"/>
  <c r="E65" i="15"/>
  <c r="D65" i="15"/>
  <c r="H64" i="15"/>
  <c r="G64" i="15"/>
  <c r="F64" i="15"/>
  <c r="E64" i="15"/>
  <c r="D64" i="15"/>
  <c r="H63" i="15"/>
  <c r="G63" i="15"/>
  <c r="F63" i="15"/>
  <c r="E63" i="15"/>
  <c r="D63" i="15"/>
  <c r="H62" i="15"/>
  <c r="G62" i="15"/>
  <c r="F62" i="15"/>
  <c r="E62" i="15"/>
  <c r="D62" i="15"/>
  <c r="H61" i="15"/>
  <c r="G61" i="15"/>
  <c r="F61" i="15"/>
  <c r="E61" i="15"/>
  <c r="D61" i="15"/>
  <c r="H60" i="15"/>
  <c r="G60" i="15"/>
  <c r="F60" i="15"/>
  <c r="E60" i="15"/>
  <c r="D60" i="15"/>
  <c r="H59" i="15"/>
  <c r="G59" i="15"/>
  <c r="F59" i="15"/>
  <c r="E59" i="15"/>
  <c r="D59" i="15"/>
  <c r="H58" i="15"/>
  <c r="G58" i="15"/>
  <c r="F58" i="15"/>
  <c r="E58" i="15"/>
  <c r="D58" i="15"/>
  <c r="H57" i="15"/>
  <c r="G57" i="15"/>
  <c r="F57" i="15"/>
  <c r="E57" i="15"/>
  <c r="D57" i="15"/>
  <c r="H56" i="15"/>
  <c r="G56" i="15"/>
  <c r="F56" i="15"/>
  <c r="E56" i="15"/>
  <c r="D56" i="15"/>
  <c r="H55" i="15"/>
  <c r="G55" i="15"/>
  <c r="F55" i="15"/>
  <c r="E55" i="15"/>
  <c r="D55" i="15"/>
  <c r="H54" i="15"/>
  <c r="G54" i="15"/>
  <c r="F54" i="15"/>
  <c r="E54" i="15"/>
  <c r="D54" i="15"/>
  <c r="G53" i="15"/>
  <c r="F53" i="15"/>
  <c r="E53" i="15"/>
  <c r="D53" i="15"/>
  <c r="H52" i="15"/>
  <c r="G52" i="15"/>
  <c r="F52" i="15"/>
  <c r="E52" i="15"/>
  <c r="D52" i="15"/>
  <c r="O50" i="15"/>
  <c r="E46" i="15"/>
  <c r="E78" i="15" s="1"/>
  <c r="R43" i="15"/>
  <c r="S27" i="15"/>
  <c r="S15" i="15"/>
  <c r="Y14" i="15"/>
  <c r="S14" i="15"/>
  <c r="F14" i="15"/>
  <c r="M53" i="15" s="1"/>
  <c r="M65" i="15" s="1"/>
  <c r="M12" i="15"/>
  <c r="M11" i="15"/>
  <c r="Y13" i="15" s="1"/>
  <c r="M10" i="15"/>
  <c r="M9" i="15"/>
  <c r="V8" i="15"/>
  <c r="M8" i="15"/>
  <c r="M7" i="15"/>
  <c r="M6" i="15"/>
  <c r="AA5" i="15"/>
  <c r="M5" i="15"/>
  <c r="AA4" i="15"/>
  <c r="S4" i="15"/>
  <c r="M4" i="15"/>
  <c r="V13" i="15" s="1"/>
  <c r="N25" i="20" l="1"/>
  <c r="Q66" i="20"/>
  <c r="U66" i="20" s="1"/>
  <c r="P7" i="20"/>
  <c r="Z23" i="22"/>
  <c r="U33" i="22"/>
  <c r="Y33" i="22" s="1"/>
  <c r="AB33" i="22" s="1"/>
  <c r="U34" i="22"/>
  <c r="AD34" i="22" s="1"/>
  <c r="U35" i="22"/>
  <c r="AF35" i="22" s="1"/>
  <c r="AH35" i="22" s="1"/>
  <c r="U37" i="22"/>
  <c r="AF37" i="22" s="1"/>
  <c r="AH37" i="22" s="1"/>
  <c r="U36" i="22"/>
  <c r="AD36" i="22" s="1"/>
  <c r="Z27" i="22"/>
  <c r="N63" i="22"/>
  <c r="N67" i="22" s="1"/>
  <c r="N72" i="22" s="1"/>
  <c r="M67" i="22"/>
  <c r="AF32" i="22"/>
  <c r="AH32" i="22" s="1"/>
  <c r="AD32" i="22"/>
  <c r="V32" i="22"/>
  <c r="Y32" i="22"/>
  <c r="S6" i="21"/>
  <c r="S8" i="21" s="1"/>
  <c r="S9" i="21" s="1"/>
  <c r="P4" i="21"/>
  <c r="P5" i="21"/>
  <c r="P7" i="21"/>
  <c r="S20" i="21"/>
  <c r="P4" i="16"/>
  <c r="S6" i="16"/>
  <c r="V18" i="16"/>
  <c r="H21" i="16" s="1"/>
  <c r="H54" i="16" s="1"/>
  <c r="H83" i="16" s="1"/>
  <c r="S6" i="20"/>
  <c r="S8" i="20" s="1"/>
  <c r="P5" i="20"/>
  <c r="AA10" i="20"/>
  <c r="K81" i="20" s="1"/>
  <c r="K90" i="20" s="1"/>
  <c r="P9" i="20"/>
  <c r="Y20" i="20"/>
  <c r="U32" i="20" s="1"/>
  <c r="V32" i="20" s="1"/>
  <c r="P10" i="20"/>
  <c r="P10" i="21"/>
  <c r="Y16" i="21"/>
  <c r="AA12" i="21"/>
  <c r="K96" i="21" s="1"/>
  <c r="K99" i="21" s="1"/>
  <c r="K81" i="21"/>
  <c r="K90" i="21" s="1"/>
  <c r="V17" i="21"/>
  <c r="K96" i="20"/>
  <c r="S18" i="20"/>
  <c r="S20" i="20" s="1"/>
  <c r="H21" i="20"/>
  <c r="H50" i="20" s="1"/>
  <c r="H75" i="20" s="1"/>
  <c r="N20" i="20" s="1"/>
  <c r="P8" i="20" s="1"/>
  <c r="P10" i="18"/>
  <c r="P9" i="18"/>
  <c r="Y18" i="18"/>
  <c r="Y20" i="18" s="1"/>
  <c r="S10" i="18"/>
  <c r="K96" i="18" s="1"/>
  <c r="K97" i="18" s="1"/>
  <c r="N36" i="18" s="1"/>
  <c r="P7" i="18"/>
  <c r="O65" i="18"/>
  <c r="R82" i="18"/>
  <c r="U26" i="18"/>
  <c r="U24" i="18"/>
  <c r="U27" i="18"/>
  <c r="U25" i="18"/>
  <c r="U23" i="18"/>
  <c r="S82" i="18"/>
  <c r="S83" i="18" s="1"/>
  <c r="V15" i="18"/>
  <c r="V16" i="18" s="1"/>
  <c r="P9" i="16"/>
  <c r="P7" i="16"/>
  <c r="AA8" i="16"/>
  <c r="AA10" i="16" s="1"/>
  <c r="M90" i="16" s="1"/>
  <c r="P10" i="16"/>
  <c r="Y16" i="16"/>
  <c r="D136" i="15"/>
  <c r="J86" i="15" s="1"/>
  <c r="P4" i="15" s="1"/>
  <c r="S10" i="15" s="1"/>
  <c r="E136" i="15"/>
  <c r="K86" i="15" s="1"/>
  <c r="AA8" i="15" s="1"/>
  <c r="AA10" i="15" s="1"/>
  <c r="F136" i="15"/>
  <c r="L85" i="15" s="1"/>
  <c r="E81" i="15"/>
  <c r="K20" i="15" s="1"/>
  <c r="P10" i="15" s="1"/>
  <c r="D81" i="15"/>
  <c r="J20" i="15" s="1"/>
  <c r="S16" i="15" s="1"/>
  <c r="S18" i="15" s="1"/>
  <c r="F81" i="15"/>
  <c r="L20" i="15" s="1"/>
  <c r="P7" i="15" s="1"/>
  <c r="G81" i="15"/>
  <c r="M20" i="15" s="1"/>
  <c r="N65" i="15"/>
  <c r="S13" i="15"/>
  <c r="S8" i="16" l="1"/>
  <c r="M50" i="16" s="1"/>
  <c r="M70" i="16" s="1"/>
  <c r="N70" i="16" s="1"/>
  <c r="S10" i="16"/>
  <c r="K99" i="20"/>
  <c r="M73" i="20"/>
  <c r="E16" i="20"/>
  <c r="F16" i="20" s="1"/>
  <c r="S10" i="20"/>
  <c r="N36" i="20" s="1"/>
  <c r="N38" i="20" s="1"/>
  <c r="S10" i="21"/>
  <c r="N36" i="21" s="1"/>
  <c r="N38" i="21" s="1"/>
  <c r="E13" i="21"/>
  <c r="F13" i="21" s="1"/>
  <c r="AD35" i="22"/>
  <c r="V34" i="22"/>
  <c r="V33" i="22"/>
  <c r="AD33" i="22"/>
  <c r="AF33" i="22"/>
  <c r="AH33" i="22" s="1"/>
  <c r="Y34" i="22"/>
  <c r="AB34" i="22" s="1"/>
  <c r="AF34" i="22"/>
  <c r="AH34" i="22" s="1"/>
  <c r="Y36" i="22"/>
  <c r="AB36" i="22" s="1"/>
  <c r="Y37" i="22"/>
  <c r="Z37" i="22" s="1"/>
  <c r="V37" i="22"/>
  <c r="V35" i="22"/>
  <c r="AD37" i="22"/>
  <c r="Y35" i="22"/>
  <c r="AB35" i="22" s="1"/>
  <c r="V36" i="22"/>
  <c r="AF36" i="22"/>
  <c r="AH36" i="22" s="1"/>
  <c r="AB32" i="22"/>
  <c r="Z32" i="22"/>
  <c r="E8" i="21"/>
  <c r="F8" i="21" s="1"/>
  <c r="U25" i="21"/>
  <c r="Y25" i="21" s="1"/>
  <c r="U23" i="21"/>
  <c r="Y23" i="21" s="1"/>
  <c r="Z23" i="21" s="1"/>
  <c r="U26" i="21"/>
  <c r="Y26" i="21" s="1"/>
  <c r="U24" i="21"/>
  <c r="Y24" i="21" s="1"/>
  <c r="U27" i="21"/>
  <c r="Y27" i="21" s="1"/>
  <c r="Z27" i="21" s="1"/>
  <c r="K92" i="18"/>
  <c r="I37" i="16"/>
  <c r="U36" i="20"/>
  <c r="Y36" i="20" s="1"/>
  <c r="U34" i="20"/>
  <c r="Y34" i="20" s="1"/>
  <c r="U33" i="20"/>
  <c r="U35" i="20"/>
  <c r="Y35" i="20" s="1"/>
  <c r="U37" i="20"/>
  <c r="Y37" i="20" s="1"/>
  <c r="Z37" i="20" s="1"/>
  <c r="Y32" i="20"/>
  <c r="Z32" i="20" s="1"/>
  <c r="H21" i="21"/>
  <c r="H50" i="21" s="1"/>
  <c r="H75" i="21" s="1"/>
  <c r="N20" i="21" s="1"/>
  <c r="P8" i="21" s="1"/>
  <c r="Y18" i="21"/>
  <c r="Y20" i="21" s="1"/>
  <c r="U27" i="20"/>
  <c r="U25" i="20"/>
  <c r="U23" i="20"/>
  <c r="U26" i="20"/>
  <c r="U24" i="20"/>
  <c r="U36" i="18"/>
  <c r="Y36" i="18" s="1"/>
  <c r="U33" i="18"/>
  <c r="V33" i="18" s="1"/>
  <c r="U34" i="18"/>
  <c r="V34" i="18" s="1"/>
  <c r="U32" i="18"/>
  <c r="Y32" i="18" s="1"/>
  <c r="Z32" i="18" s="1"/>
  <c r="U37" i="18"/>
  <c r="Y37" i="18" s="1"/>
  <c r="Z37" i="18" s="1"/>
  <c r="U35" i="18"/>
  <c r="V35" i="18" s="1"/>
  <c r="S84" i="18"/>
  <c r="T84" i="18" s="1"/>
  <c r="T83" i="18"/>
  <c r="U83" i="18" s="1"/>
  <c r="O71" i="18"/>
  <c r="K94" i="18"/>
  <c r="K93" i="18"/>
  <c r="V26" i="18"/>
  <c r="V24" i="18"/>
  <c r="Y27" i="18"/>
  <c r="Z27" i="18" s="1"/>
  <c r="V27" i="18"/>
  <c r="Y25" i="18"/>
  <c r="Y23" i="18"/>
  <c r="Z23" i="18" s="1"/>
  <c r="V25" i="18"/>
  <c r="V23" i="18"/>
  <c r="H21" i="18"/>
  <c r="H53" i="18" s="1"/>
  <c r="H81" i="18" s="1"/>
  <c r="N20" i="18" s="1"/>
  <c r="P8" i="18" s="1"/>
  <c r="V19" i="18"/>
  <c r="F11" i="18"/>
  <c r="Y26" i="18"/>
  <c r="Y24" i="18"/>
  <c r="I37" i="18"/>
  <c r="N20" i="16"/>
  <c r="P8" i="16" s="1"/>
  <c r="S6" i="15"/>
  <c r="S8" i="15" s="1"/>
  <c r="E11" i="15" s="1"/>
  <c r="F11" i="15" s="1"/>
  <c r="M50" i="15" s="1"/>
  <c r="M64" i="15" s="1"/>
  <c r="N64" i="15" s="1"/>
  <c r="N72" i="15" s="1"/>
  <c r="P5" i="15"/>
  <c r="K88" i="15"/>
  <c r="N66" i="15"/>
  <c r="Y16" i="15"/>
  <c r="Y18" i="15" s="1"/>
  <c r="V14" i="15"/>
  <c r="V15" i="15" s="1"/>
  <c r="P9" i="15"/>
  <c r="S20" i="15"/>
  <c r="U24" i="15" s="1"/>
  <c r="E14" i="16" l="1"/>
  <c r="F14" i="16" s="1"/>
  <c r="M57" i="16"/>
  <c r="M76" i="16"/>
  <c r="M94" i="16"/>
  <c r="M96" i="16" s="1"/>
  <c r="E8" i="16"/>
  <c r="F8" i="16" s="1"/>
  <c r="M98" i="16"/>
  <c r="M99" i="16" s="1"/>
  <c r="N77" i="16" s="1"/>
  <c r="V27" i="21"/>
  <c r="V26" i="21"/>
  <c r="V23" i="21"/>
  <c r="V24" i="21"/>
  <c r="V36" i="20"/>
  <c r="V34" i="20"/>
  <c r="AB37" i="22"/>
  <c r="N23" i="21"/>
  <c r="N35" i="21"/>
  <c r="N37" i="21" s="1"/>
  <c r="K89" i="21"/>
  <c r="K91" i="21" s="1"/>
  <c r="K93" i="21" s="1"/>
  <c r="K85" i="21"/>
  <c r="K87" i="21" s="1"/>
  <c r="K97" i="21"/>
  <c r="K98" i="21" s="1"/>
  <c r="K101" i="21" s="1"/>
  <c r="M71" i="21" s="1"/>
  <c r="V25" i="21"/>
  <c r="V36" i="18"/>
  <c r="E8" i="20"/>
  <c r="F8" i="20" s="1"/>
  <c r="K89" i="20"/>
  <c r="K91" i="20" s="1"/>
  <c r="K93" i="20" s="1"/>
  <c r="K85" i="20"/>
  <c r="K86" i="20" s="1"/>
  <c r="K97" i="20"/>
  <c r="K98" i="20" s="1"/>
  <c r="K101" i="20" s="1"/>
  <c r="M71" i="20" s="1"/>
  <c r="N35" i="20"/>
  <c r="N37" i="20" s="1"/>
  <c r="V37" i="20"/>
  <c r="V33" i="20"/>
  <c r="Y33" i="20"/>
  <c r="V35" i="20"/>
  <c r="U37" i="21"/>
  <c r="U35" i="21"/>
  <c r="U33" i="21"/>
  <c r="U36" i="21"/>
  <c r="U34" i="21"/>
  <c r="U32" i="21"/>
  <c r="L55" i="21"/>
  <c r="L67" i="21" s="1"/>
  <c r="M67" i="21" s="1"/>
  <c r="N25" i="21"/>
  <c r="N30" i="21" s="1"/>
  <c r="N31" i="21" s="1"/>
  <c r="L32" i="21" s="1"/>
  <c r="V23" i="20"/>
  <c r="Y23" i="20"/>
  <c r="Z23" i="20" s="1"/>
  <c r="Y24" i="20"/>
  <c r="V24" i="20"/>
  <c r="Y26" i="20"/>
  <c r="V26" i="20"/>
  <c r="Y25" i="20"/>
  <c r="V25" i="20"/>
  <c r="V27" i="20"/>
  <c r="Y27" i="20"/>
  <c r="Z27" i="20" s="1"/>
  <c r="Y34" i="18"/>
  <c r="Y35" i="18"/>
  <c r="V37" i="18"/>
  <c r="Y33" i="18"/>
  <c r="V32" i="18"/>
  <c r="V84" i="18"/>
  <c r="M35" i="18"/>
  <c r="N26" i="18"/>
  <c r="N30" i="18" s="1"/>
  <c r="N31" i="18" s="1"/>
  <c r="L32" i="18" s="1"/>
  <c r="N35" i="18"/>
  <c r="N37" i="18" s="1"/>
  <c r="D8" i="15"/>
  <c r="F8" i="15" s="1"/>
  <c r="M47" i="15" s="1"/>
  <c r="M63" i="15" s="1"/>
  <c r="I37" i="15"/>
  <c r="V17" i="15"/>
  <c r="Y24" i="15" s="1"/>
  <c r="Y20" i="15"/>
  <c r="U34" i="15" s="1"/>
  <c r="U26" i="15"/>
  <c r="S82" i="15"/>
  <c r="S83" i="15" s="1"/>
  <c r="S84" i="15" s="1"/>
  <c r="T84" i="15" s="1"/>
  <c r="R82" i="15"/>
  <c r="U27" i="15"/>
  <c r="U25" i="15"/>
  <c r="U23" i="15"/>
  <c r="AA9" i="12"/>
  <c r="F15" i="12"/>
  <c r="E15" i="12"/>
  <c r="D15" i="12"/>
  <c r="N66" i="12"/>
  <c r="N47" i="12"/>
  <c r="O47" i="12" s="1"/>
  <c r="D16" i="12"/>
  <c r="D14" i="12"/>
  <c r="E14" i="12"/>
  <c r="D8" i="12"/>
  <c r="F135" i="12"/>
  <c r="E135" i="12"/>
  <c r="D135" i="12"/>
  <c r="F134" i="12"/>
  <c r="E134" i="12"/>
  <c r="D134" i="12"/>
  <c r="F133" i="12"/>
  <c r="E133" i="12"/>
  <c r="D133" i="12"/>
  <c r="F132" i="12"/>
  <c r="E132" i="12"/>
  <c r="D132" i="12"/>
  <c r="F131" i="12"/>
  <c r="E131" i="12"/>
  <c r="D131" i="12"/>
  <c r="F130" i="12"/>
  <c r="E130" i="12"/>
  <c r="D130" i="12"/>
  <c r="F129" i="12"/>
  <c r="E129" i="12"/>
  <c r="D129" i="12"/>
  <c r="F128" i="12"/>
  <c r="E128" i="12"/>
  <c r="D128" i="12"/>
  <c r="F127" i="12"/>
  <c r="E127" i="12"/>
  <c r="D127" i="12"/>
  <c r="F126" i="12"/>
  <c r="E126" i="12"/>
  <c r="D126" i="12"/>
  <c r="F125" i="12"/>
  <c r="E125" i="12"/>
  <c r="D125" i="12"/>
  <c r="F124" i="12"/>
  <c r="E124" i="12"/>
  <c r="D124" i="12"/>
  <c r="F123" i="12"/>
  <c r="E123" i="12"/>
  <c r="D123" i="12"/>
  <c r="F122" i="12"/>
  <c r="E122" i="12"/>
  <c r="D122" i="12"/>
  <c r="F121" i="12"/>
  <c r="E121" i="12"/>
  <c r="D121" i="12"/>
  <c r="F120" i="12"/>
  <c r="E120" i="12"/>
  <c r="D120" i="12"/>
  <c r="F119" i="12"/>
  <c r="E119" i="12"/>
  <c r="D119" i="12"/>
  <c r="F118" i="12"/>
  <c r="E118" i="12"/>
  <c r="D118" i="12"/>
  <c r="F117" i="12"/>
  <c r="E117" i="12"/>
  <c r="D117" i="12"/>
  <c r="F116" i="12"/>
  <c r="E116" i="12"/>
  <c r="D116" i="12"/>
  <c r="F115" i="12"/>
  <c r="E115" i="12"/>
  <c r="D115" i="12"/>
  <c r="F114" i="12"/>
  <c r="E114" i="12"/>
  <c r="D114" i="12"/>
  <c r="F113" i="12"/>
  <c r="F136" i="12" s="1"/>
  <c r="L85" i="12" s="1"/>
  <c r="E113" i="12"/>
  <c r="D113" i="12"/>
  <c r="H80" i="12"/>
  <c r="G80" i="12"/>
  <c r="F80" i="12"/>
  <c r="E80" i="12"/>
  <c r="D80" i="12"/>
  <c r="H79" i="12"/>
  <c r="G79" i="12"/>
  <c r="F79" i="12"/>
  <c r="E79" i="12"/>
  <c r="D79" i="12"/>
  <c r="H78" i="12"/>
  <c r="G78" i="12"/>
  <c r="F78" i="12"/>
  <c r="D78" i="12"/>
  <c r="H77" i="12"/>
  <c r="G77" i="12"/>
  <c r="F77" i="12"/>
  <c r="E77" i="12"/>
  <c r="D77" i="12"/>
  <c r="H76" i="12"/>
  <c r="G76" i="12"/>
  <c r="F76" i="12"/>
  <c r="E76" i="12"/>
  <c r="D76" i="12"/>
  <c r="H75" i="12"/>
  <c r="G75" i="12"/>
  <c r="F75" i="12"/>
  <c r="E75" i="12"/>
  <c r="D75" i="12"/>
  <c r="H74" i="12"/>
  <c r="G74" i="12"/>
  <c r="F74" i="12"/>
  <c r="E74" i="12"/>
  <c r="D74" i="12"/>
  <c r="H73" i="12"/>
  <c r="G73" i="12"/>
  <c r="F73" i="12"/>
  <c r="E73" i="12"/>
  <c r="D73" i="12"/>
  <c r="H72" i="12"/>
  <c r="G72" i="12"/>
  <c r="F72" i="12"/>
  <c r="E72" i="12"/>
  <c r="D72" i="12"/>
  <c r="H71" i="12"/>
  <c r="G71" i="12"/>
  <c r="F71" i="12"/>
  <c r="E71" i="12"/>
  <c r="D71" i="12"/>
  <c r="H70" i="12"/>
  <c r="G70" i="12"/>
  <c r="F70" i="12"/>
  <c r="E70" i="12"/>
  <c r="D70" i="12"/>
  <c r="H69" i="12"/>
  <c r="G69" i="12"/>
  <c r="F69" i="12"/>
  <c r="E69" i="12"/>
  <c r="D69" i="12"/>
  <c r="H68" i="12"/>
  <c r="G68" i="12"/>
  <c r="F68" i="12"/>
  <c r="E68" i="12"/>
  <c r="D68" i="12"/>
  <c r="N68" i="12"/>
  <c r="H67" i="12"/>
  <c r="G67" i="12"/>
  <c r="F67" i="12"/>
  <c r="E67" i="12"/>
  <c r="D67" i="12"/>
  <c r="H66" i="12"/>
  <c r="G66" i="12"/>
  <c r="F66" i="12"/>
  <c r="E66" i="12"/>
  <c r="D66" i="12"/>
  <c r="H65" i="12"/>
  <c r="G65" i="12"/>
  <c r="F65" i="12"/>
  <c r="E65" i="12"/>
  <c r="D65" i="12"/>
  <c r="H64" i="12"/>
  <c r="G64" i="12"/>
  <c r="F64" i="12"/>
  <c r="E64" i="12"/>
  <c r="D64" i="12"/>
  <c r="H63" i="12"/>
  <c r="G63" i="12"/>
  <c r="F63" i="12"/>
  <c r="E63" i="12"/>
  <c r="D63" i="12"/>
  <c r="H62" i="12"/>
  <c r="G62" i="12"/>
  <c r="F62" i="12"/>
  <c r="E62" i="12"/>
  <c r="D62" i="12"/>
  <c r="H61" i="12"/>
  <c r="G61" i="12"/>
  <c r="F61" i="12"/>
  <c r="E61" i="12"/>
  <c r="D61" i="12"/>
  <c r="H60" i="12"/>
  <c r="G60" i="12"/>
  <c r="F60" i="12"/>
  <c r="E60" i="12"/>
  <c r="D60" i="12"/>
  <c r="H59" i="12"/>
  <c r="G59" i="12"/>
  <c r="F59" i="12"/>
  <c r="E59" i="12"/>
  <c r="D59" i="12"/>
  <c r="H58" i="12"/>
  <c r="G58" i="12"/>
  <c r="F58" i="12"/>
  <c r="E58" i="12"/>
  <c r="D58" i="12"/>
  <c r="H57" i="12"/>
  <c r="G57" i="12"/>
  <c r="F57" i="12"/>
  <c r="E57" i="12"/>
  <c r="D57" i="12"/>
  <c r="H56" i="12"/>
  <c r="G56" i="12"/>
  <c r="F56" i="12"/>
  <c r="E56" i="12"/>
  <c r="D56" i="12"/>
  <c r="H55" i="12"/>
  <c r="G55" i="12"/>
  <c r="F55" i="12"/>
  <c r="E55" i="12"/>
  <c r="D55" i="12"/>
  <c r="H54" i="12"/>
  <c r="G54" i="12"/>
  <c r="F54" i="12"/>
  <c r="E54" i="12"/>
  <c r="D54" i="12"/>
  <c r="O53" i="12"/>
  <c r="G53" i="12"/>
  <c r="F53" i="12"/>
  <c r="E53" i="12"/>
  <c r="D53" i="12"/>
  <c r="H52" i="12"/>
  <c r="G52" i="12"/>
  <c r="F52" i="12"/>
  <c r="E52" i="12"/>
  <c r="D52" i="12"/>
  <c r="O50" i="12"/>
  <c r="O51" i="12" s="1"/>
  <c r="E46" i="12"/>
  <c r="E78" i="12" s="1"/>
  <c r="R43" i="12"/>
  <c r="S27" i="12"/>
  <c r="S15" i="12"/>
  <c r="Y14" i="12"/>
  <c r="S14" i="12"/>
  <c r="F14" i="12"/>
  <c r="M53" i="12" s="1"/>
  <c r="M65" i="12" s="1"/>
  <c r="Y13" i="12"/>
  <c r="M12" i="12"/>
  <c r="M51" i="12"/>
  <c r="M11" i="12"/>
  <c r="M50" i="12"/>
  <c r="M10" i="12"/>
  <c r="S13" i="12" s="1"/>
  <c r="M9" i="12"/>
  <c r="V8" i="12"/>
  <c r="M8" i="12"/>
  <c r="M7" i="12"/>
  <c r="M6" i="12"/>
  <c r="AA5" i="12"/>
  <c r="M5" i="12"/>
  <c r="AA4" i="12"/>
  <c r="S4" i="12"/>
  <c r="M4" i="12"/>
  <c r="V13" i="12" s="1"/>
  <c r="E46" i="10"/>
  <c r="N67" i="10"/>
  <c r="E11" i="10"/>
  <c r="N50" i="10"/>
  <c r="E8" i="10"/>
  <c r="D8" i="10"/>
  <c r="D11" i="10"/>
  <c r="E14" i="10"/>
  <c r="D14" i="10"/>
  <c r="E16" i="10"/>
  <c r="F16" i="10" s="1"/>
  <c r="D16" i="10"/>
  <c r="R43" i="10"/>
  <c r="F135" i="10"/>
  <c r="E135" i="10"/>
  <c r="D135" i="10"/>
  <c r="F134" i="10"/>
  <c r="E134" i="10"/>
  <c r="D134" i="10"/>
  <c r="F133" i="10"/>
  <c r="E133" i="10"/>
  <c r="D133" i="10"/>
  <c r="F132" i="10"/>
  <c r="E132" i="10"/>
  <c r="D132" i="10"/>
  <c r="F131" i="10"/>
  <c r="E131" i="10"/>
  <c r="D131" i="10"/>
  <c r="F130" i="10"/>
  <c r="E130" i="10"/>
  <c r="D130" i="10"/>
  <c r="F129" i="10"/>
  <c r="E129" i="10"/>
  <c r="D129" i="10"/>
  <c r="F128" i="10"/>
  <c r="E128" i="10"/>
  <c r="D128" i="10"/>
  <c r="F127" i="10"/>
  <c r="E127" i="10"/>
  <c r="D127" i="10"/>
  <c r="F126" i="10"/>
  <c r="E126" i="10"/>
  <c r="D126" i="10"/>
  <c r="F125" i="10"/>
  <c r="E125" i="10"/>
  <c r="D125" i="10"/>
  <c r="F124" i="10"/>
  <c r="E124" i="10"/>
  <c r="D124" i="10"/>
  <c r="F123" i="10"/>
  <c r="E123" i="10"/>
  <c r="D123" i="10"/>
  <c r="F122" i="10"/>
  <c r="E122" i="10"/>
  <c r="D122" i="10"/>
  <c r="F121" i="10"/>
  <c r="E121" i="10"/>
  <c r="D121" i="10"/>
  <c r="F120" i="10"/>
  <c r="E120" i="10"/>
  <c r="D120" i="10"/>
  <c r="F119" i="10"/>
  <c r="E119" i="10"/>
  <c r="D119" i="10"/>
  <c r="F118" i="10"/>
  <c r="E118" i="10"/>
  <c r="D118" i="10"/>
  <c r="F117" i="10"/>
  <c r="E117" i="10"/>
  <c r="D117" i="10"/>
  <c r="F116" i="10"/>
  <c r="E116" i="10"/>
  <c r="D116" i="10"/>
  <c r="F115" i="10"/>
  <c r="E115" i="10"/>
  <c r="D115" i="10"/>
  <c r="F114" i="10"/>
  <c r="E114" i="10"/>
  <c r="D114" i="10"/>
  <c r="F113" i="10"/>
  <c r="E113" i="10"/>
  <c r="D113" i="10"/>
  <c r="H80" i="10"/>
  <c r="G80" i="10"/>
  <c r="F80" i="10"/>
  <c r="E80" i="10"/>
  <c r="D80" i="10"/>
  <c r="H79" i="10"/>
  <c r="G79" i="10"/>
  <c r="F79" i="10"/>
  <c r="E79" i="10"/>
  <c r="D79" i="10"/>
  <c r="H78" i="10"/>
  <c r="G78" i="10"/>
  <c r="F78" i="10"/>
  <c r="D78" i="10"/>
  <c r="H77" i="10"/>
  <c r="G77" i="10"/>
  <c r="F77" i="10"/>
  <c r="E77" i="10"/>
  <c r="D77" i="10"/>
  <c r="H76" i="10"/>
  <c r="G76" i="10"/>
  <c r="F76" i="10"/>
  <c r="E76" i="10"/>
  <c r="D76" i="10"/>
  <c r="H75" i="10"/>
  <c r="G75" i="10"/>
  <c r="F75" i="10"/>
  <c r="E75" i="10"/>
  <c r="D75" i="10"/>
  <c r="H74" i="10"/>
  <c r="G74" i="10"/>
  <c r="F74" i="10"/>
  <c r="E74" i="10"/>
  <c r="D74" i="10"/>
  <c r="H73" i="10"/>
  <c r="G73" i="10"/>
  <c r="F73" i="10"/>
  <c r="E73" i="10"/>
  <c r="D73" i="10"/>
  <c r="H72" i="10"/>
  <c r="G72" i="10"/>
  <c r="F72" i="10"/>
  <c r="E72" i="10"/>
  <c r="D72" i="10"/>
  <c r="H71" i="10"/>
  <c r="G71" i="10"/>
  <c r="F71" i="10"/>
  <c r="E71" i="10"/>
  <c r="D71" i="10"/>
  <c r="H70" i="10"/>
  <c r="G70" i="10"/>
  <c r="F70" i="10"/>
  <c r="E70" i="10"/>
  <c r="D70" i="10"/>
  <c r="H69" i="10"/>
  <c r="G69" i="10"/>
  <c r="F69" i="10"/>
  <c r="E69" i="10"/>
  <c r="D69" i="10"/>
  <c r="H68" i="10"/>
  <c r="G68" i="10"/>
  <c r="F68" i="10"/>
  <c r="E68" i="10"/>
  <c r="D68" i="10"/>
  <c r="H67" i="10"/>
  <c r="G67" i="10"/>
  <c r="F67" i="10"/>
  <c r="E67" i="10"/>
  <c r="D67" i="10"/>
  <c r="H66" i="10"/>
  <c r="G66" i="10"/>
  <c r="F66" i="10"/>
  <c r="E66" i="10"/>
  <c r="D66" i="10"/>
  <c r="H65" i="10"/>
  <c r="G65" i="10"/>
  <c r="F65" i="10"/>
  <c r="E65" i="10"/>
  <c r="D65" i="10"/>
  <c r="H64" i="10"/>
  <c r="G64" i="10"/>
  <c r="F64" i="10"/>
  <c r="E64" i="10"/>
  <c r="D64" i="10"/>
  <c r="H63" i="10"/>
  <c r="G63" i="10"/>
  <c r="F63" i="10"/>
  <c r="E63" i="10"/>
  <c r="D63" i="10"/>
  <c r="H62" i="10"/>
  <c r="G62" i="10"/>
  <c r="F62" i="10"/>
  <c r="E62" i="10"/>
  <c r="D62" i="10"/>
  <c r="H61" i="10"/>
  <c r="G61" i="10"/>
  <c r="F61" i="10"/>
  <c r="E61" i="10"/>
  <c r="D61" i="10"/>
  <c r="H60" i="10"/>
  <c r="G60" i="10"/>
  <c r="F60" i="10"/>
  <c r="E60" i="10"/>
  <c r="D60" i="10"/>
  <c r="H59" i="10"/>
  <c r="G59" i="10"/>
  <c r="F59" i="10"/>
  <c r="E59" i="10"/>
  <c r="D59" i="10"/>
  <c r="H58" i="10"/>
  <c r="G58" i="10"/>
  <c r="F58" i="10"/>
  <c r="E58" i="10"/>
  <c r="D58" i="10"/>
  <c r="H57" i="10"/>
  <c r="G57" i="10"/>
  <c r="F57" i="10"/>
  <c r="E57" i="10"/>
  <c r="D57" i="10"/>
  <c r="H56" i="10"/>
  <c r="G56" i="10"/>
  <c r="F56" i="10"/>
  <c r="E56" i="10"/>
  <c r="D56" i="10"/>
  <c r="H55" i="10"/>
  <c r="G55" i="10"/>
  <c r="F55" i="10"/>
  <c r="E55" i="10"/>
  <c r="D55" i="10"/>
  <c r="H54" i="10"/>
  <c r="G54" i="10"/>
  <c r="F54" i="10"/>
  <c r="E54" i="10"/>
  <c r="D54" i="10"/>
  <c r="G53" i="10"/>
  <c r="F53" i="10"/>
  <c r="E53" i="10"/>
  <c r="D53" i="10"/>
  <c r="H52" i="10"/>
  <c r="G52" i="10"/>
  <c r="F52" i="10"/>
  <c r="E52" i="10"/>
  <c r="D52" i="10"/>
  <c r="E78" i="10"/>
  <c r="S27" i="10"/>
  <c r="S15" i="10"/>
  <c r="Y14" i="10"/>
  <c r="S14" i="10"/>
  <c r="M12" i="10"/>
  <c r="M11" i="10"/>
  <c r="Y13" i="10" s="1"/>
  <c r="M10" i="10"/>
  <c r="M9" i="10"/>
  <c r="V8" i="10"/>
  <c r="M8" i="10"/>
  <c r="M7" i="10"/>
  <c r="M6" i="10"/>
  <c r="AA5" i="10"/>
  <c r="M5" i="10"/>
  <c r="AA4" i="10"/>
  <c r="S4" i="10"/>
  <c r="M4" i="10"/>
  <c r="M26" i="16" l="1"/>
  <c r="M53" i="16"/>
  <c r="M71" i="16" s="1"/>
  <c r="N71" i="16" s="1"/>
  <c r="M27" i="16"/>
  <c r="M95" i="16"/>
  <c r="M29" i="16" s="1"/>
  <c r="K86" i="21"/>
  <c r="L49" i="20"/>
  <c r="L65" i="20" s="1"/>
  <c r="M65" i="20" s="1"/>
  <c r="M69" i="20" s="1"/>
  <c r="M72" i="20" s="1"/>
  <c r="M76" i="20" s="1"/>
  <c r="Q65" i="20"/>
  <c r="N41" i="21"/>
  <c r="N23" i="20"/>
  <c r="N30" i="20" s="1"/>
  <c r="N31" i="20" s="1"/>
  <c r="L32" i="20" s="1"/>
  <c r="N41" i="20" s="1"/>
  <c r="K87" i="20"/>
  <c r="V32" i="21"/>
  <c r="Y32" i="21"/>
  <c r="Z32" i="21" s="1"/>
  <c r="V34" i="21"/>
  <c r="Y34" i="21"/>
  <c r="Y36" i="21"/>
  <c r="V36" i="21"/>
  <c r="Y33" i="21"/>
  <c r="V33" i="21"/>
  <c r="Y35" i="21"/>
  <c r="V35" i="21"/>
  <c r="V37" i="21"/>
  <c r="Y37" i="21"/>
  <c r="Z37" i="21" s="1"/>
  <c r="M69" i="21"/>
  <c r="M72" i="21" s="1"/>
  <c r="M76" i="21" s="1"/>
  <c r="L69" i="21"/>
  <c r="Y61" i="18"/>
  <c r="N39" i="18"/>
  <c r="O72" i="18"/>
  <c r="V61" i="18" s="1"/>
  <c r="N69" i="18"/>
  <c r="N63" i="15"/>
  <c r="N67" i="15" s="1"/>
  <c r="K92" i="15"/>
  <c r="K93" i="15" s="1"/>
  <c r="M67" i="15"/>
  <c r="K96" i="15"/>
  <c r="K97" i="15" s="1"/>
  <c r="N69" i="15" s="1"/>
  <c r="H21" i="15"/>
  <c r="H53" i="15" s="1"/>
  <c r="H81" i="15" s="1"/>
  <c r="N20" i="15" s="1"/>
  <c r="P8" i="15" s="1"/>
  <c r="V23" i="15"/>
  <c r="Y25" i="15"/>
  <c r="Y27" i="15"/>
  <c r="Z27" i="15" s="1"/>
  <c r="V24" i="15"/>
  <c r="Y26" i="15"/>
  <c r="Y34" i="15"/>
  <c r="U32" i="15"/>
  <c r="V32" i="15" s="1"/>
  <c r="U37" i="15"/>
  <c r="Y37" i="15" s="1"/>
  <c r="Z37" i="15" s="1"/>
  <c r="U35" i="15"/>
  <c r="Y35" i="15" s="1"/>
  <c r="U33" i="15"/>
  <c r="Y33" i="15" s="1"/>
  <c r="U36" i="15"/>
  <c r="V26" i="15"/>
  <c r="V27" i="15"/>
  <c r="V25" i="15"/>
  <c r="T83" i="15"/>
  <c r="U83" i="15" s="1"/>
  <c r="Y23" i="15"/>
  <c r="Z23" i="15" s="1"/>
  <c r="V34" i="15"/>
  <c r="D136" i="12"/>
  <c r="J86" i="12" s="1"/>
  <c r="P4" i="12" s="1"/>
  <c r="E136" i="12"/>
  <c r="K86" i="12" s="1"/>
  <c r="AA8" i="12" s="1"/>
  <c r="AA10" i="12" s="1"/>
  <c r="K88" i="12" s="1"/>
  <c r="D81" i="12"/>
  <c r="J20" i="12" s="1"/>
  <c r="S16" i="12" s="1"/>
  <c r="S18" i="12" s="1"/>
  <c r="S20" i="12" s="1"/>
  <c r="E81" i="12"/>
  <c r="K20" i="12" s="1"/>
  <c r="Y16" i="12" s="1"/>
  <c r="Y18" i="12" s="1"/>
  <c r="F81" i="12"/>
  <c r="L20" i="12" s="1"/>
  <c r="V14" i="12" s="1"/>
  <c r="V15" i="12" s="1"/>
  <c r="V17" i="12" s="1"/>
  <c r="G81" i="12"/>
  <c r="M20" i="12" s="1"/>
  <c r="N65" i="12"/>
  <c r="M64" i="12"/>
  <c r="N64" i="12" s="1"/>
  <c r="O53" i="10"/>
  <c r="O47" i="10"/>
  <c r="O50" i="10"/>
  <c r="O51" i="10" s="1"/>
  <c r="F8" i="10"/>
  <c r="M47" i="10" s="1"/>
  <c r="M63" i="10" s="1"/>
  <c r="D136" i="10"/>
  <c r="J86" i="10" s="1"/>
  <c r="P4" i="10" s="1"/>
  <c r="D81" i="10"/>
  <c r="J20" i="10" s="1"/>
  <c r="S16" i="10" s="1"/>
  <c r="S18" i="10" s="1"/>
  <c r="F136" i="10"/>
  <c r="L85" i="10" s="1"/>
  <c r="E136" i="10"/>
  <c r="K86" i="10" s="1"/>
  <c r="F81" i="10"/>
  <c r="L20" i="10" s="1"/>
  <c r="V14" i="10" s="1"/>
  <c r="F14" i="10"/>
  <c r="M53" i="10" s="1"/>
  <c r="M65" i="10" s="1"/>
  <c r="G81" i="10"/>
  <c r="M20" i="10" s="1"/>
  <c r="V13" i="10"/>
  <c r="P5" i="10"/>
  <c r="AA8" i="10"/>
  <c r="AA10" i="10" s="1"/>
  <c r="K88" i="10" s="1"/>
  <c r="E81" i="10"/>
  <c r="K20" i="10" s="1"/>
  <c r="S13" i="10"/>
  <c r="M47" i="16" l="1"/>
  <c r="M69" i="16" s="1"/>
  <c r="M73" i="16" s="1"/>
  <c r="M78" i="16" s="1"/>
  <c r="M25" i="16"/>
  <c r="M30" i="16" s="1"/>
  <c r="M39" i="16" s="1"/>
  <c r="L69" i="20"/>
  <c r="V65" i="20"/>
  <c r="V68" i="20" s="1"/>
  <c r="U65" i="20"/>
  <c r="U68" i="20" s="1"/>
  <c r="W65" i="20" s="1"/>
  <c r="N70" i="15"/>
  <c r="N73" i="15" s="1"/>
  <c r="K94" i="15"/>
  <c r="V37" i="15"/>
  <c r="V84" i="15"/>
  <c r="V33" i="15"/>
  <c r="V35" i="15"/>
  <c r="V36" i="15"/>
  <c r="Y36" i="15"/>
  <c r="Y32" i="15"/>
  <c r="Z32" i="15" s="1"/>
  <c r="S6" i="12"/>
  <c r="S8" i="12" s="1"/>
  <c r="E16" i="12" s="1"/>
  <c r="F16" i="12" s="1"/>
  <c r="P5" i="12"/>
  <c r="P9" i="12"/>
  <c r="Y20" i="12"/>
  <c r="U37" i="12" s="1"/>
  <c r="V37" i="12" s="1"/>
  <c r="P10" i="12"/>
  <c r="P7" i="12"/>
  <c r="R82" i="12"/>
  <c r="U24" i="12"/>
  <c r="V24" i="12" s="1"/>
  <c r="U26" i="12"/>
  <c r="Y26" i="12" s="1"/>
  <c r="U23" i="12"/>
  <c r="Y23" i="12" s="1"/>
  <c r="Z23" i="12" s="1"/>
  <c r="U25" i="12"/>
  <c r="V25" i="12" s="1"/>
  <c r="U27" i="12"/>
  <c r="V27" i="12" s="1"/>
  <c r="S82" i="12"/>
  <c r="S83" i="12" s="1"/>
  <c r="I37" i="12"/>
  <c r="H21" i="12"/>
  <c r="H53" i="12" s="1"/>
  <c r="H81" i="12" s="1"/>
  <c r="N20" i="12" s="1"/>
  <c r="P8" i="12" s="1"/>
  <c r="N65" i="10"/>
  <c r="P9" i="10"/>
  <c r="S20" i="10"/>
  <c r="S82" i="10" s="1"/>
  <c r="S83" i="10" s="1"/>
  <c r="N63" i="10"/>
  <c r="S6" i="10"/>
  <c r="S8" i="10" s="1"/>
  <c r="S10" i="10" s="1"/>
  <c r="K96" i="10" s="1"/>
  <c r="K97" i="10" s="1"/>
  <c r="N68" i="10" s="1"/>
  <c r="P7" i="10"/>
  <c r="Y16" i="10"/>
  <c r="P10" i="10"/>
  <c r="V15" i="10"/>
  <c r="M55" i="16" l="1"/>
  <c r="M56" i="16" s="1"/>
  <c r="W66" i="20"/>
  <c r="N69" i="16"/>
  <c r="N73" i="16" s="1"/>
  <c r="N78" i="16" s="1"/>
  <c r="S10" i="12"/>
  <c r="K96" i="12" s="1"/>
  <c r="K97" i="12" s="1"/>
  <c r="N69" i="12" s="1"/>
  <c r="N70" i="12" s="1"/>
  <c r="E8" i="12"/>
  <c r="F8" i="12" s="1"/>
  <c r="M47" i="12" s="1"/>
  <c r="M63" i="12" s="1"/>
  <c r="N63" i="12" s="1"/>
  <c r="N67" i="12" s="1"/>
  <c r="U36" i="12"/>
  <c r="Y36" i="12" s="1"/>
  <c r="U32" i="12"/>
  <c r="V32" i="12" s="1"/>
  <c r="U35" i="12"/>
  <c r="Y35" i="12" s="1"/>
  <c r="U33" i="12"/>
  <c r="V33" i="12" s="1"/>
  <c r="U34" i="12"/>
  <c r="V34" i="12" s="1"/>
  <c r="V26" i="12"/>
  <c r="Y25" i="12"/>
  <c r="Y37" i="12"/>
  <c r="Z37" i="12" s="1"/>
  <c r="Y27" i="12"/>
  <c r="Z27" i="12" s="1"/>
  <c r="V23" i="12"/>
  <c r="Y24" i="12"/>
  <c r="S84" i="12"/>
  <c r="T84" i="12" s="1"/>
  <c r="T83" i="12"/>
  <c r="U83" i="12" s="1"/>
  <c r="R82" i="10"/>
  <c r="U24" i="10"/>
  <c r="U25" i="10"/>
  <c r="U23" i="10"/>
  <c r="U27" i="10"/>
  <c r="U26" i="10"/>
  <c r="K92" i="10"/>
  <c r="K93" i="10" s="1"/>
  <c r="S84" i="10"/>
  <c r="T84" i="10" s="1"/>
  <c r="T83" i="10"/>
  <c r="Y18" i="10"/>
  <c r="Y20" i="10" s="1"/>
  <c r="I37" i="10"/>
  <c r="V17" i="10"/>
  <c r="F11" i="10" s="1"/>
  <c r="M50" i="10" s="1"/>
  <c r="M51" i="10" s="1"/>
  <c r="M64" i="10" s="1"/>
  <c r="Q59" i="16" l="1"/>
  <c r="T60" i="16"/>
  <c r="T61" i="16"/>
  <c r="T59" i="16"/>
  <c r="Q60" i="16"/>
  <c r="Q61" i="16"/>
  <c r="K92" i="12"/>
  <c r="K94" i="12" s="1"/>
  <c r="M67" i="12"/>
  <c r="V36" i="12"/>
  <c r="Y34" i="12"/>
  <c r="Y32" i="12"/>
  <c r="Z32" i="12" s="1"/>
  <c r="Y33" i="12"/>
  <c r="V35" i="12"/>
  <c r="V84" i="12"/>
  <c r="U83" i="10"/>
  <c r="K94" i="10"/>
  <c r="Y27" i="10"/>
  <c r="Z27" i="10" s="1"/>
  <c r="V25" i="10"/>
  <c r="V27" i="10"/>
  <c r="Y25" i="10"/>
  <c r="Y23" i="10"/>
  <c r="Z23" i="10" s="1"/>
  <c r="V23" i="10"/>
  <c r="H21" i="10"/>
  <c r="H53" i="10" s="1"/>
  <c r="H81" i="10" s="1"/>
  <c r="N20" i="10" s="1"/>
  <c r="P8" i="10" s="1"/>
  <c r="V24" i="10"/>
  <c r="Y26" i="10"/>
  <c r="Y24" i="10"/>
  <c r="V26" i="10"/>
  <c r="U36" i="10"/>
  <c r="Y36" i="10" s="1"/>
  <c r="U34" i="10"/>
  <c r="Y34" i="10" s="1"/>
  <c r="U32" i="10"/>
  <c r="V32" i="10" s="1"/>
  <c r="U37" i="10"/>
  <c r="Y37" i="10" s="1"/>
  <c r="Z37" i="10" s="1"/>
  <c r="U35" i="10"/>
  <c r="V35" i="10" s="1"/>
  <c r="U33" i="10"/>
  <c r="Y33" i="10" s="1"/>
  <c r="V84" i="10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3" i="7"/>
  <c r="K93" i="12" l="1"/>
  <c r="N64" i="10"/>
  <c r="N66" i="10" s="1"/>
  <c r="N69" i="10" s="1"/>
  <c r="M66" i="10"/>
  <c r="Y32" i="10"/>
  <c r="Z32" i="10" s="1"/>
  <c r="V37" i="10"/>
  <c r="V33" i="10"/>
  <c r="V34" i="10"/>
  <c r="Y35" i="10"/>
  <c r="V36" i="10"/>
  <c r="D120" i="4" l="1"/>
  <c r="E120" i="4"/>
  <c r="F120" i="4"/>
  <c r="D121" i="4"/>
  <c r="E121" i="4"/>
  <c r="F121" i="4"/>
  <c r="D122" i="4"/>
  <c r="E122" i="4"/>
  <c r="F122" i="4"/>
  <c r="D123" i="4"/>
  <c r="E123" i="4"/>
  <c r="F123" i="4"/>
  <c r="D124" i="4"/>
  <c r="E124" i="4"/>
  <c r="F124" i="4"/>
  <c r="D125" i="4"/>
  <c r="E125" i="4"/>
  <c r="F125" i="4"/>
  <c r="D126" i="4"/>
  <c r="E126" i="4"/>
  <c r="F126" i="4"/>
  <c r="D127" i="4"/>
  <c r="E127" i="4"/>
  <c r="F127" i="4"/>
  <c r="D128" i="4"/>
  <c r="E128" i="4"/>
  <c r="F128" i="4"/>
  <c r="D129" i="4"/>
  <c r="E129" i="4"/>
  <c r="F129" i="4"/>
  <c r="D130" i="4"/>
  <c r="E130" i="4"/>
  <c r="F130" i="4"/>
  <c r="D131" i="4"/>
  <c r="E131" i="4"/>
  <c r="F131" i="4"/>
  <c r="D132" i="4"/>
  <c r="E132" i="4"/>
  <c r="F132" i="4"/>
  <c r="D133" i="4"/>
  <c r="E133" i="4"/>
  <c r="F133" i="4"/>
  <c r="AA5" i="4" l="1"/>
  <c r="AA4" i="4"/>
  <c r="B6" i="5"/>
  <c r="J5" i="5" s="1"/>
  <c r="K5" i="5" s="1"/>
  <c r="B5" i="5"/>
  <c r="I16" i="5" s="1"/>
  <c r="I23" i="5" l="1"/>
  <c r="J23" i="5"/>
  <c r="K23" i="5" s="1"/>
  <c r="I24" i="5"/>
  <c r="J24" i="5"/>
  <c r="K24" i="5" s="1"/>
  <c r="J16" i="5"/>
  <c r="K16" i="5" s="1"/>
  <c r="J17" i="5"/>
  <c r="K17" i="5" s="1"/>
  <c r="J9" i="5"/>
  <c r="K9" i="5" s="1"/>
  <c r="J13" i="5"/>
  <c r="K13" i="5" s="1"/>
  <c r="J20" i="5"/>
  <c r="K20" i="5" s="1"/>
  <c r="I17" i="5"/>
  <c r="I18" i="5" s="1"/>
  <c r="J8" i="5"/>
  <c r="K8" i="5" s="1"/>
  <c r="I13" i="5"/>
  <c r="I8" i="5"/>
  <c r="J12" i="5"/>
  <c r="K12" i="5" s="1"/>
  <c r="I9" i="5"/>
  <c r="I20" i="5"/>
  <c r="I12" i="5"/>
  <c r="I5" i="5"/>
  <c r="J4" i="5"/>
  <c r="K4" i="5" s="1"/>
  <c r="I4" i="5"/>
  <c r="I21" i="5" l="1"/>
  <c r="I6" i="5"/>
  <c r="K6" i="5"/>
  <c r="K21" i="5"/>
  <c r="K14" i="5"/>
  <c r="I10" i="5"/>
  <c r="K18" i="5"/>
  <c r="K10" i="5"/>
  <c r="K25" i="5"/>
  <c r="I14" i="5"/>
  <c r="I25" i="5"/>
  <c r="F119" i="4" l="1"/>
  <c r="E119" i="4"/>
  <c r="D119" i="4"/>
  <c r="F118" i="4"/>
  <c r="E118" i="4"/>
  <c r="D118" i="4"/>
  <c r="F117" i="4"/>
  <c r="E117" i="4"/>
  <c r="D117" i="4"/>
  <c r="F116" i="4"/>
  <c r="E116" i="4"/>
  <c r="D116" i="4"/>
  <c r="F115" i="4"/>
  <c r="E115" i="4"/>
  <c r="D115" i="4"/>
  <c r="F114" i="4"/>
  <c r="E114" i="4"/>
  <c r="D114" i="4"/>
  <c r="F113" i="4"/>
  <c r="E113" i="4"/>
  <c r="D113" i="4"/>
  <c r="F112" i="4"/>
  <c r="E112" i="4"/>
  <c r="D112" i="4"/>
  <c r="F111" i="4"/>
  <c r="E111" i="4"/>
  <c r="D111" i="4"/>
  <c r="F110" i="4"/>
  <c r="E110" i="4"/>
  <c r="D110" i="4"/>
  <c r="F109" i="4"/>
  <c r="E109" i="4"/>
  <c r="D109" i="4"/>
  <c r="H49" i="4"/>
  <c r="G49" i="4"/>
  <c r="F49" i="4"/>
  <c r="E49" i="4"/>
  <c r="D49" i="4"/>
  <c r="E43" i="4"/>
  <c r="E72" i="4" s="1"/>
  <c r="M34" i="4"/>
  <c r="N26" i="4"/>
  <c r="S27" i="4"/>
  <c r="M12" i="4"/>
  <c r="M11" i="4"/>
  <c r="Y13" i="4" s="1"/>
  <c r="M10" i="4"/>
  <c r="M9" i="4"/>
  <c r="V8" i="4"/>
  <c r="V10" i="4" s="1"/>
  <c r="M8" i="4"/>
  <c r="M74" i="4" s="1"/>
  <c r="M7" i="4"/>
  <c r="M6" i="4"/>
  <c r="M5" i="4"/>
  <c r="M4" i="4"/>
  <c r="B20" i="5"/>
  <c r="E10" i="4" l="1"/>
  <c r="F10" i="4" s="1"/>
  <c r="F134" i="4"/>
  <c r="L79" i="4" s="1"/>
  <c r="F75" i="4"/>
  <c r="L20" i="4" s="1"/>
  <c r="V14" i="4" s="1"/>
  <c r="G75" i="4"/>
  <c r="M20" i="4" s="1"/>
  <c r="E134" i="4"/>
  <c r="K79" i="4" s="1"/>
  <c r="AA8" i="4" s="1"/>
  <c r="AA10" i="4" s="1"/>
  <c r="D134" i="4"/>
  <c r="J79" i="4" s="1"/>
  <c r="S6" i="4" s="1"/>
  <c r="S8" i="4" s="1"/>
  <c r="S10" i="4" s="1"/>
  <c r="D75" i="4"/>
  <c r="J20" i="4" s="1"/>
  <c r="E75" i="4"/>
  <c r="K20" i="4" s="1"/>
  <c r="P10" i="4" s="1"/>
  <c r="S13" i="4"/>
  <c r="V13" i="4"/>
  <c r="S16" i="4" l="1"/>
  <c r="K81" i="4"/>
  <c r="K90" i="4" s="1"/>
  <c r="AA12" i="4"/>
  <c r="M75" i="4" s="1"/>
  <c r="F16" i="4"/>
  <c r="E12" i="4"/>
  <c r="E8" i="4"/>
  <c r="P5" i="4"/>
  <c r="P7" i="4"/>
  <c r="P4" i="4"/>
  <c r="Y16" i="4"/>
  <c r="Y18" i="4" s="1"/>
  <c r="Y20" i="4" s="1"/>
  <c r="P9" i="4"/>
  <c r="V15" i="4"/>
  <c r="V17" i="4" s="1"/>
  <c r="S18" i="4" l="1"/>
  <c r="K96" i="4"/>
  <c r="K99" i="4" s="1"/>
  <c r="E13" i="4"/>
  <c r="F12" i="4"/>
  <c r="K97" i="4"/>
  <c r="K98" i="4" s="1"/>
  <c r="K101" i="4" s="1"/>
  <c r="M71" i="4" s="1"/>
  <c r="N36" i="4"/>
  <c r="N38" i="4" s="1"/>
  <c r="K85" i="4"/>
  <c r="K86" i="4" s="1"/>
  <c r="K89" i="4"/>
  <c r="K91" i="4" s="1"/>
  <c r="K93" i="4" s="1"/>
  <c r="N35" i="4"/>
  <c r="N37" i="4" s="1"/>
  <c r="F8" i="4"/>
  <c r="U36" i="4"/>
  <c r="Y36" i="4" s="1"/>
  <c r="U35" i="4"/>
  <c r="V35" i="4" s="1"/>
  <c r="U37" i="4"/>
  <c r="Y37" i="4" s="1"/>
  <c r="Z37" i="4" s="1"/>
  <c r="U34" i="4"/>
  <c r="V34" i="4" s="1"/>
  <c r="U32" i="4"/>
  <c r="Y32" i="4" s="1"/>
  <c r="Z32" i="4" s="1"/>
  <c r="U33" i="4"/>
  <c r="V33" i="4" s="1"/>
  <c r="H21" i="4"/>
  <c r="U24" i="4" l="1"/>
  <c r="U23" i="4"/>
  <c r="V23" i="4" s="1"/>
  <c r="U26" i="4"/>
  <c r="Y26" i="4" s="1"/>
  <c r="U25" i="4"/>
  <c r="V25" i="4" s="1"/>
  <c r="U27" i="4"/>
  <c r="V27" i="4" s="1"/>
  <c r="F13" i="4"/>
  <c r="L55" i="4"/>
  <c r="L67" i="4" s="1"/>
  <c r="M67" i="4" s="1"/>
  <c r="N25" i="4"/>
  <c r="N23" i="4"/>
  <c r="L49" i="4"/>
  <c r="L65" i="4" s="1"/>
  <c r="M65" i="4" s="1"/>
  <c r="H50" i="4"/>
  <c r="H75" i="4" s="1"/>
  <c r="N20" i="4" s="1"/>
  <c r="P8" i="4" s="1"/>
  <c r="K87" i="4"/>
  <c r="Y23" i="4"/>
  <c r="Z23" i="4" s="1"/>
  <c r="V26" i="4"/>
  <c r="Y25" i="4"/>
  <c r="V32" i="4"/>
  <c r="Y34" i="4"/>
  <c r="Y35" i="4"/>
  <c r="Y33" i="4"/>
  <c r="V37" i="4"/>
  <c r="V36" i="4"/>
  <c r="Y27" i="4" l="1"/>
  <c r="Z27" i="4" s="1"/>
  <c r="V24" i="4"/>
  <c r="Y24" i="4"/>
  <c r="N30" i="4"/>
  <c r="N31" i="4" s="1"/>
  <c r="L32" i="4" s="1"/>
  <c r="N41" i="4" s="1"/>
  <c r="M69" i="4"/>
  <c r="M72" i="4" s="1"/>
  <c r="M76" i="4" s="1"/>
  <c r="L69" i="4"/>
  <c r="D61" i="2"/>
  <c r="E61" i="2"/>
  <c r="F61" i="2"/>
  <c r="Y15" i="2" l="1"/>
  <c r="S15" i="2"/>
  <c r="J13" i="2"/>
  <c r="S13" i="2" s="1"/>
  <c r="J12" i="2"/>
  <c r="V13" i="2" s="1"/>
  <c r="F117" i="2"/>
  <c r="E117" i="2"/>
  <c r="D117" i="2"/>
  <c r="F116" i="2"/>
  <c r="E116" i="2"/>
  <c r="D116" i="2"/>
  <c r="F115" i="2"/>
  <c r="E115" i="2"/>
  <c r="D115" i="2"/>
  <c r="F114" i="2"/>
  <c r="E114" i="2"/>
  <c r="D114" i="2"/>
  <c r="F113" i="2"/>
  <c r="E113" i="2"/>
  <c r="D113" i="2"/>
  <c r="F112" i="2"/>
  <c r="E112" i="2"/>
  <c r="D112" i="2"/>
  <c r="F111" i="2"/>
  <c r="E111" i="2"/>
  <c r="D111" i="2"/>
  <c r="F110" i="2"/>
  <c r="E110" i="2"/>
  <c r="D110" i="2"/>
  <c r="F109" i="2"/>
  <c r="E109" i="2"/>
  <c r="D109" i="2"/>
  <c r="F108" i="2"/>
  <c r="E108" i="2"/>
  <c r="D108" i="2"/>
  <c r="F107" i="2"/>
  <c r="E107" i="2"/>
  <c r="D107" i="2"/>
  <c r="F106" i="2"/>
  <c r="E106" i="2"/>
  <c r="D106" i="2"/>
  <c r="F105" i="2"/>
  <c r="E105" i="2"/>
  <c r="D105" i="2"/>
  <c r="F104" i="2"/>
  <c r="E104" i="2"/>
  <c r="D104" i="2"/>
  <c r="F103" i="2"/>
  <c r="E103" i="2"/>
  <c r="D103" i="2"/>
  <c r="F102" i="2"/>
  <c r="E102" i="2"/>
  <c r="D102" i="2"/>
  <c r="F101" i="2"/>
  <c r="E101" i="2"/>
  <c r="D101" i="2"/>
  <c r="F100" i="2"/>
  <c r="E100" i="2"/>
  <c r="D100" i="2"/>
  <c r="F99" i="2"/>
  <c r="E99" i="2"/>
  <c r="D99" i="2"/>
  <c r="F98" i="2"/>
  <c r="E98" i="2"/>
  <c r="D98" i="2"/>
  <c r="F97" i="2"/>
  <c r="E97" i="2"/>
  <c r="D97" i="2"/>
  <c r="D118" i="2" s="1"/>
  <c r="J68" i="2" s="1"/>
  <c r="F96" i="2"/>
  <c r="E96" i="2"/>
  <c r="D96" i="2"/>
  <c r="F95" i="2"/>
  <c r="F118" i="2" s="1"/>
  <c r="L68" i="2" s="1"/>
  <c r="E95" i="2"/>
  <c r="E118" i="2" s="1"/>
  <c r="D95" i="2"/>
  <c r="F62" i="2"/>
  <c r="E62" i="2"/>
  <c r="D62" i="2"/>
  <c r="F60" i="2"/>
  <c r="E60" i="2"/>
  <c r="D60" i="2"/>
  <c r="F59" i="2"/>
  <c r="E59" i="2"/>
  <c r="D59" i="2"/>
  <c r="F58" i="2"/>
  <c r="E58" i="2"/>
  <c r="D58" i="2"/>
  <c r="F57" i="2"/>
  <c r="E57" i="2"/>
  <c r="D57" i="2"/>
  <c r="F56" i="2"/>
  <c r="E56" i="2"/>
  <c r="D56" i="2"/>
  <c r="F55" i="2"/>
  <c r="E55" i="2"/>
  <c r="D55" i="2"/>
  <c r="F54" i="2"/>
  <c r="E54" i="2"/>
  <c r="D54" i="2"/>
  <c r="F53" i="2"/>
  <c r="E53" i="2"/>
  <c r="D53" i="2"/>
  <c r="F52" i="2"/>
  <c r="E52" i="2"/>
  <c r="D52" i="2"/>
  <c r="F51" i="2"/>
  <c r="E51" i="2"/>
  <c r="D51" i="2"/>
  <c r="F50" i="2"/>
  <c r="E50" i="2"/>
  <c r="D50" i="2"/>
  <c r="F49" i="2"/>
  <c r="E49" i="2"/>
  <c r="D49" i="2"/>
  <c r="F48" i="2"/>
  <c r="E48" i="2"/>
  <c r="D48" i="2"/>
  <c r="F47" i="2"/>
  <c r="E47" i="2"/>
  <c r="D47" i="2"/>
  <c r="F46" i="2"/>
  <c r="E46" i="2"/>
  <c r="D46" i="2"/>
  <c r="F45" i="2"/>
  <c r="E45" i="2"/>
  <c r="D45" i="2"/>
  <c r="F44" i="2"/>
  <c r="E44" i="2"/>
  <c r="D44" i="2"/>
  <c r="F43" i="2"/>
  <c r="E43" i="2"/>
  <c r="D43" i="2"/>
  <c r="Y14" i="2"/>
  <c r="S14" i="2"/>
  <c r="J14" i="2"/>
  <c r="Y13" i="2" s="1"/>
  <c r="V10" i="2"/>
  <c r="M10" i="2"/>
  <c r="D10" i="2"/>
  <c r="V8" i="2"/>
  <c r="S7" i="2"/>
  <c r="M7" i="2"/>
  <c r="M6" i="2"/>
  <c r="M5" i="2"/>
  <c r="S4" i="2"/>
  <c r="M4" i="2"/>
  <c r="D63" i="2" l="1"/>
  <c r="J20" i="2" s="1"/>
  <c r="S16" i="2" s="1"/>
  <c r="S18" i="2" s="1"/>
  <c r="S20" i="2" s="1"/>
  <c r="F63" i="2"/>
  <c r="L20" i="2" s="1"/>
  <c r="V14" i="2" s="1"/>
  <c r="E63" i="2"/>
  <c r="K20" i="2" s="1"/>
  <c r="Y16" i="2" s="1"/>
  <c r="Y18" i="2" s="1"/>
  <c r="P4" i="2"/>
  <c r="S6" i="2"/>
  <c r="S8" i="2" s="1"/>
  <c r="S10" i="2" s="1"/>
  <c r="P5" i="2"/>
  <c r="K70" i="2" s="1"/>
  <c r="K68" i="2"/>
  <c r="P8" i="2" l="1"/>
  <c r="P7" i="2"/>
  <c r="V15" i="2"/>
  <c r="E10" i="2" s="1"/>
  <c r="F10" i="2" s="1"/>
  <c r="P9" i="2"/>
  <c r="U25" i="2"/>
  <c r="U24" i="2"/>
  <c r="U23" i="2"/>
  <c r="U26" i="2"/>
  <c r="Y20" i="2"/>
  <c r="K74" i="2"/>
  <c r="K78" i="2"/>
  <c r="K79" i="2" s="1"/>
  <c r="V17" i="2" l="1"/>
  <c r="K76" i="2"/>
  <c r="K75" i="2"/>
  <c r="U45" i="2"/>
  <c r="U48" i="2"/>
  <c r="U43" i="2"/>
  <c r="U46" i="2"/>
  <c r="U44" i="2"/>
  <c r="U47" i="2"/>
  <c r="V47" i="2" l="1"/>
  <c r="V43" i="2"/>
  <c r="V45" i="2"/>
  <c r="V48" i="2"/>
  <c r="V25" i="2"/>
  <c r="V24" i="2"/>
  <c r="V44" i="2"/>
  <c r="V23" i="2"/>
  <c r="V46" i="2"/>
  <c r="V26" i="2"/>
  <c r="B9" i="5" l="1"/>
  <c r="M5" i="5" l="1"/>
  <c r="M12" i="5"/>
  <c r="M23" i="5"/>
  <c r="M17" i="5"/>
  <c r="M9" i="5"/>
  <c r="M16" i="5"/>
  <c r="M24" i="5"/>
  <c r="M8" i="5"/>
  <c r="M13" i="5"/>
  <c r="M20" i="5"/>
  <c r="M4" i="5"/>
  <c r="M14" i="5"/>
  <c r="M6" i="5"/>
  <c r="M21" i="5"/>
  <c r="M10" i="5"/>
  <c r="M25" i="5"/>
  <c r="M18" i="5"/>
  <c r="B10" i="5" l="1"/>
  <c r="B18" i="5" l="1"/>
  <c r="B15" i="5"/>
  <c r="B16" i="5" s="1"/>
  <c r="V8" i="5" l="1"/>
  <c r="V4" i="5"/>
  <c r="P23" i="5"/>
  <c r="Q23" i="5" s="1"/>
  <c r="R23" i="5" s="1"/>
  <c r="S23" i="5" s="1"/>
  <c r="T23" i="5" s="1"/>
  <c r="P20" i="5"/>
  <c r="Q20" i="5" s="1"/>
  <c r="R20" i="5" s="1"/>
  <c r="S20" i="5" s="1"/>
  <c r="T20" i="5" s="1"/>
  <c r="V23" i="5"/>
  <c r="P16" i="5"/>
  <c r="Q16" i="5" s="1"/>
  <c r="R16" i="5" s="1"/>
  <c r="S16" i="5" s="1"/>
  <c r="T16" i="5" s="1"/>
  <c r="V20" i="5"/>
  <c r="P12" i="5"/>
  <c r="Q12" i="5" s="1"/>
  <c r="R12" i="5" s="1"/>
  <c r="S12" i="5" s="1"/>
  <c r="T12" i="5" s="1"/>
  <c r="V16" i="5"/>
  <c r="P8" i="5"/>
  <c r="Q8" i="5" s="1"/>
  <c r="R8" i="5" s="1"/>
  <c r="S8" i="5" s="1"/>
  <c r="T8" i="5" s="1"/>
  <c r="V12" i="5"/>
  <c r="P4" i="5"/>
  <c r="Q4" i="5" s="1"/>
  <c r="R4" i="5" s="1"/>
  <c r="S4" i="5" s="1"/>
  <c r="T4" i="5" s="1"/>
  <c r="N21" i="5"/>
  <c r="N18" i="5"/>
  <c r="N6" i="5"/>
  <c r="N14" i="5"/>
  <c r="N25" i="5"/>
  <c r="N10" i="5"/>
  <c r="S18" i="16" l="1"/>
  <c r="S19" i="16" l="1"/>
  <c r="S20" i="16" s="1"/>
  <c r="R84" i="16" l="1"/>
  <c r="AB83" i="16"/>
  <c r="AB84" i="16"/>
  <c r="U25" i="16"/>
  <c r="V25" i="16" s="1"/>
  <c r="U26" i="16"/>
  <c r="S84" i="16"/>
  <c r="S85" i="16" s="1"/>
  <c r="S86" i="16" s="1"/>
  <c r="T86" i="16" s="1"/>
  <c r="U24" i="16"/>
  <c r="U27" i="16"/>
  <c r="U23" i="16"/>
  <c r="Y18" i="16"/>
  <c r="Y25" i="16" l="1"/>
  <c r="AB25" i="16" s="1"/>
  <c r="V24" i="16"/>
  <c r="AD24" i="16"/>
  <c r="AF24" i="16"/>
  <c r="AH24" i="16" s="1"/>
  <c r="V26" i="16"/>
  <c r="AD26" i="16"/>
  <c r="AF26" i="16"/>
  <c r="AH26" i="16" s="1"/>
  <c r="Y23" i="16"/>
  <c r="AF23" i="16"/>
  <c r="AH23" i="16" s="1"/>
  <c r="AD23" i="16"/>
  <c r="V27" i="16"/>
  <c r="AD27" i="16"/>
  <c r="AF27" i="16"/>
  <c r="AH27" i="16" s="1"/>
  <c r="AD25" i="16"/>
  <c r="AF25" i="16"/>
  <c r="AH25" i="16" s="1"/>
  <c r="Y27" i="16"/>
  <c r="Y26" i="16"/>
  <c r="AB26" i="16" s="1"/>
  <c r="V23" i="16"/>
  <c r="Y24" i="16"/>
  <c r="AB24" i="16" s="1"/>
  <c r="Y19" i="16"/>
  <c r="Y20" i="16" s="1"/>
  <c r="T85" i="16"/>
  <c r="U85" i="16" s="1"/>
  <c r="Z23" i="16" l="1"/>
  <c r="AB23" i="16"/>
  <c r="Z27" i="16"/>
  <c r="AB27" i="16"/>
  <c r="U34" i="16"/>
  <c r="U33" i="16"/>
  <c r="U32" i="16"/>
  <c r="U36" i="16"/>
  <c r="U35" i="16"/>
  <c r="U37" i="16"/>
  <c r="V86" i="16"/>
  <c r="Y36" i="16" l="1"/>
  <c r="AB36" i="16" s="1"/>
  <c r="AF36" i="16"/>
  <c r="AH36" i="16" s="1"/>
  <c r="AD36" i="16"/>
  <c r="V33" i="16"/>
  <c r="AF33" i="16"/>
  <c r="AH33" i="16" s="1"/>
  <c r="AD33" i="16"/>
  <c r="Y34" i="16"/>
  <c r="AB34" i="16" s="1"/>
  <c r="AF34" i="16"/>
  <c r="AH34" i="16" s="1"/>
  <c r="AD34" i="16"/>
  <c r="Y37" i="16"/>
  <c r="Z37" i="16" s="1"/>
  <c r="AD37" i="16"/>
  <c r="AF37" i="16"/>
  <c r="AH37" i="16" s="1"/>
  <c r="Y32" i="16"/>
  <c r="Z32" i="16" s="1"/>
  <c r="AF32" i="16"/>
  <c r="AH32" i="16" s="1"/>
  <c r="AD32" i="16"/>
  <c r="AF35" i="16"/>
  <c r="AH35" i="16" s="1"/>
  <c r="AD35" i="16"/>
  <c r="V34" i="16"/>
  <c r="V32" i="16"/>
  <c r="Y33" i="16"/>
  <c r="AB33" i="16" s="1"/>
  <c r="V36" i="16"/>
  <c r="Y35" i="16"/>
  <c r="AB35" i="16" s="1"/>
  <c r="V35" i="16"/>
  <c r="V37" i="16"/>
  <c r="AB37" i="16" l="1"/>
  <c r="AB32" i="16"/>
</calcChain>
</file>

<file path=xl/sharedStrings.xml><?xml version="1.0" encoding="utf-8"?>
<sst xmlns="http://schemas.openxmlformats.org/spreadsheetml/2006/main" count="4198" uniqueCount="426">
  <si>
    <t xml:space="preserve"> </t>
  </si>
  <si>
    <t>Scaling</t>
  </si>
  <si>
    <t>Base:</t>
  </si>
  <si>
    <t>+ Items</t>
  </si>
  <si>
    <t>Bonus AD</t>
  </si>
  <si>
    <t>Bonus AP</t>
  </si>
  <si>
    <t>Level</t>
  </si>
  <si>
    <t>Health</t>
  </si>
  <si>
    <t>AD Base</t>
  </si>
  <si>
    <t>AD</t>
  </si>
  <si>
    <t>Mastery:</t>
  </si>
  <si>
    <t>AD/lvl</t>
  </si>
  <si>
    <t>AS</t>
  </si>
  <si>
    <t>Rune:</t>
  </si>
  <si>
    <t>AS Base</t>
  </si>
  <si>
    <t>Armor</t>
  </si>
  <si>
    <t>Item:</t>
  </si>
  <si>
    <t>Skills</t>
  </si>
  <si>
    <t>Points</t>
  </si>
  <si>
    <t>Base</t>
  </si>
  <si>
    <t>Bonus</t>
  </si>
  <si>
    <t>Total</t>
  </si>
  <si>
    <t>AS/lvl</t>
  </si>
  <si>
    <t>MR</t>
  </si>
  <si>
    <t>SKILL (Q)</t>
  </si>
  <si>
    <t>Q</t>
  </si>
  <si>
    <t>Bonus:</t>
  </si>
  <si>
    <t>Armor/lvl</t>
  </si>
  <si>
    <t>ArPen:</t>
  </si>
  <si>
    <t>W</t>
  </si>
  <si>
    <t>ArPen%:</t>
  </si>
  <si>
    <t>Total AD:</t>
  </si>
  <si>
    <t>Total AP:</t>
  </si>
  <si>
    <t>E</t>
  </si>
  <si>
    <t>R</t>
  </si>
  <si>
    <t>Qty</t>
  </si>
  <si>
    <t>Item</t>
  </si>
  <si>
    <t>AD Bonus</t>
  </si>
  <si>
    <t>AS Bonus</t>
  </si>
  <si>
    <t>Crit Chance</t>
  </si>
  <si>
    <t>Sum:</t>
  </si>
  <si>
    <t>Crit Bonus</t>
  </si>
  <si>
    <t>Combo</t>
  </si>
  <si>
    <t>Infinity Edge</t>
  </si>
  <si>
    <t>Phantom Dancer</t>
  </si>
  <si>
    <t>Statikk Shiv</t>
  </si>
  <si>
    <t>Last Whisper</t>
  </si>
  <si>
    <t>Bloodthirster</t>
  </si>
  <si>
    <t>Capped</t>
  </si>
  <si>
    <t>Mercurial Scimitar</t>
  </si>
  <si>
    <t>Doran's Blade</t>
  </si>
  <si>
    <t>Damage/shot (Min)</t>
  </si>
  <si>
    <t>Zephyr</t>
  </si>
  <si>
    <t>Damage/shot (Avg)</t>
  </si>
  <si>
    <t>BoRK</t>
  </si>
  <si>
    <t>Damage/shot(Crit)</t>
  </si>
  <si>
    <t>Youmuu's GB</t>
  </si>
  <si>
    <t>Berserker Greaves</t>
  </si>
  <si>
    <t>DPS (No Crit)</t>
  </si>
  <si>
    <t>Trinity Force</t>
  </si>
  <si>
    <t>DPS (With Avg Crit)</t>
  </si>
  <si>
    <t>Zeke's Herald</t>
  </si>
  <si>
    <t>Maw of Malmortius</t>
  </si>
  <si>
    <t>Brutalizer</t>
  </si>
  <si>
    <t>Black Cleaver</t>
  </si>
  <si>
    <t>Hexdrinker</t>
  </si>
  <si>
    <t>Bilgewater Cutlass</t>
  </si>
  <si>
    <t>Tiamat</t>
  </si>
  <si>
    <t>Ravenous Hydra</t>
  </si>
  <si>
    <t>Longsword</t>
  </si>
  <si>
    <t>Pickaxe</t>
  </si>
  <si>
    <t>BF Sword</t>
  </si>
  <si>
    <t>Owned Items</t>
  </si>
  <si>
    <t>Total Item Bonus</t>
  </si>
  <si>
    <t>Warmog's Armor</t>
  </si>
  <si>
    <t>Frozen Mallet</t>
  </si>
  <si>
    <t>Randuin's Omen</t>
  </si>
  <si>
    <t>Sunfire Cape</t>
  </si>
  <si>
    <t>Banshee's Veil</t>
  </si>
  <si>
    <t>Spirit Visage</t>
  </si>
  <si>
    <t>Rod of Ages</t>
  </si>
  <si>
    <t>Locket.. Solari</t>
  </si>
  <si>
    <t>Rylai's Crystal Scepter</t>
  </si>
  <si>
    <t>Face of the Mountain</t>
  </si>
  <si>
    <t>Giant's Belt</t>
  </si>
  <si>
    <t>Spirit… Ancient Golem</t>
  </si>
  <si>
    <t>Bonus Armor</t>
  </si>
  <si>
    <t>SKILL (P)</t>
  </si>
  <si>
    <t>Bonus Health</t>
  </si>
  <si>
    <t>Total HP:</t>
  </si>
  <si>
    <t>Total Ar:</t>
  </si>
  <si>
    <t>Masteries:</t>
  </si>
  <si>
    <t>Ench. Ar</t>
  </si>
  <si>
    <t>Vet Scar</t>
  </si>
  <si>
    <t>Leg. Prot</t>
  </si>
  <si>
    <t>Bonus MR</t>
  </si>
  <si>
    <t>Total MR:</t>
  </si>
  <si>
    <t>Effective HP VS:</t>
  </si>
  <si>
    <t>ArPen</t>
  </si>
  <si>
    <t>%ArPen</t>
  </si>
  <si>
    <t>Eff Arm:</t>
  </si>
  <si>
    <t>Eff HP:</t>
  </si>
  <si>
    <t>MagPen</t>
  </si>
  <si>
    <t>%MagPen</t>
  </si>
  <si>
    <t>Eff MR:</t>
  </si>
  <si>
    <t>Thornmail</t>
  </si>
  <si>
    <t>Frozen Heart</t>
  </si>
  <si>
    <t>Ruby Crystal</t>
  </si>
  <si>
    <t>Chain Vest</t>
  </si>
  <si>
    <t>Ninja Tabi</t>
  </si>
  <si>
    <t>Mercury Treads</t>
  </si>
  <si>
    <t>Nasus</t>
  </si>
  <si>
    <t>Negatron Cloak</t>
  </si>
  <si>
    <t>Warden's Mail</t>
  </si>
  <si>
    <t>Cloth Armor</t>
  </si>
  <si>
    <t>Doran's Shield</t>
  </si>
  <si>
    <t>Abyssal Scepter</t>
  </si>
  <si>
    <t>New Warmog's</t>
  </si>
  <si>
    <t>Plus Locket Shield</t>
  </si>
  <si>
    <t>Stat Delta (Lvl 18)</t>
  </si>
  <si>
    <t>HP/5</t>
  </si>
  <si>
    <t>MP</t>
  </si>
  <si>
    <t>MP/5</t>
  </si>
  <si>
    <t>MS</t>
  </si>
  <si>
    <t>Growth:</t>
  </si>
  <si>
    <t>Growth</t>
  </si>
  <si>
    <t>HP/5 %</t>
  </si>
  <si>
    <t>Extra Rune MR</t>
  </si>
  <si>
    <t>Tgt HP:</t>
  </si>
  <si>
    <t>QWE</t>
  </si>
  <si>
    <t>Target Health:</t>
  </si>
  <si>
    <t>Bleed</t>
  </si>
  <si>
    <t>Jungler</t>
  </si>
  <si>
    <t>DPS</t>
  </si>
  <si>
    <t>Smite</t>
  </si>
  <si>
    <t>QWE + Smite</t>
  </si>
  <si>
    <t>Seconds to Kill:</t>
  </si>
  <si>
    <t>HP Left:</t>
  </si>
  <si>
    <t>Jungle Table</t>
  </si>
  <si>
    <t>Monster</t>
  </si>
  <si>
    <t>Red Buff</t>
  </si>
  <si>
    <t>Small Red</t>
  </si>
  <si>
    <t>Blue Buff</t>
  </si>
  <si>
    <t>Small Blue</t>
  </si>
  <si>
    <t>Big Wolf</t>
  </si>
  <si>
    <t>Sm Wolf</t>
  </si>
  <si>
    <t>Big Raptor</t>
  </si>
  <si>
    <t>Sm Raptor</t>
  </si>
  <si>
    <t>HP</t>
  </si>
  <si>
    <t>Lvl</t>
  </si>
  <si>
    <t>Exp</t>
  </si>
  <si>
    <t>Gold</t>
  </si>
  <si>
    <t>Small Raptor</t>
  </si>
  <si>
    <t>Gromp</t>
  </si>
  <si>
    <t>Big Golem</t>
  </si>
  <si>
    <t>Small Golem</t>
  </si>
  <si>
    <t>Xin Zhao</t>
  </si>
  <si>
    <t>AS:</t>
  </si>
  <si>
    <t>Runes:</t>
  </si>
  <si>
    <t>Items:</t>
  </si>
  <si>
    <t>Total AS</t>
  </si>
  <si>
    <t>HP Factor</t>
  </si>
  <si>
    <t>AD Factor</t>
  </si>
  <si>
    <t>HP Base</t>
  </si>
  <si>
    <t>Small Wolf</t>
  </si>
  <si>
    <t>Big Krug</t>
  </si>
  <si>
    <t>Krug</t>
  </si>
  <si>
    <t>Buffed AS</t>
  </si>
  <si>
    <t>Levels:</t>
  </si>
  <si>
    <t>DPS, AA</t>
  </si>
  <si>
    <t>Buffed DPS, AA</t>
  </si>
  <si>
    <t>Buffed DPS, Total</t>
  </si>
  <si>
    <t>DPS, Total</t>
  </si>
  <si>
    <t>Desirable Characteristics, Clearing</t>
  </si>
  <si>
    <t>Sustain</t>
  </si>
  <si>
    <t>AoE</t>
  </si>
  <si>
    <t>Mitigation</t>
  </si>
  <si>
    <t>Sustained Damage</t>
  </si>
  <si>
    <t>Mobility</t>
  </si>
  <si>
    <t>Aatrox</t>
  </si>
  <si>
    <t>Cho'Gath</t>
  </si>
  <si>
    <t>Dr Mundo</t>
  </si>
  <si>
    <t>Elise</t>
  </si>
  <si>
    <t>Fiddle</t>
  </si>
  <si>
    <t>Fiora</t>
  </si>
  <si>
    <t>Gangplank</t>
  </si>
  <si>
    <t>Jax</t>
  </si>
  <si>
    <t>Malphite</t>
  </si>
  <si>
    <t>Master Yi</t>
  </si>
  <si>
    <t>Olaf</t>
  </si>
  <si>
    <t>Trundle</t>
  </si>
  <si>
    <t>Xin Zhao:</t>
  </si>
  <si>
    <t>AS Red, AS Quint, Armor Flat, CDR/Lvl</t>
  </si>
  <si>
    <t>Gromp, Blue, Red</t>
  </si>
  <si>
    <t>Path</t>
  </si>
  <si>
    <t>Time</t>
  </si>
  <si>
    <t>Blue, Wolves, Red</t>
  </si>
  <si>
    <t>Dragon</t>
  </si>
  <si>
    <t>Devourer</t>
  </si>
  <si>
    <t>Warrior</t>
  </si>
  <si>
    <t>AS, Buffed</t>
  </si>
  <si>
    <t>DPS (Devourer)</t>
  </si>
  <si>
    <t>DPS (Avg Crit + Dev)</t>
  </si>
  <si>
    <t>DPS, Buffed (No Crit)</t>
  </si>
  <si>
    <t>DPS (Buffed, Avg Crit)</t>
  </si>
  <si>
    <t>DPS (Buffed, Devourer)</t>
  </si>
  <si>
    <t>DPS (Buffed, Total)</t>
  </si>
  <si>
    <t>DPS w/ Armor</t>
  </si>
  <si>
    <t>W (DPS)</t>
  </si>
  <si>
    <t>CD</t>
  </si>
  <si>
    <t>AA</t>
  </si>
  <si>
    <t>Monster:</t>
  </si>
  <si>
    <t>Champ:</t>
  </si>
  <si>
    <t>Regen:</t>
  </si>
  <si>
    <t>Jungler:</t>
  </si>
  <si>
    <t>BSmite:</t>
  </si>
  <si>
    <t>Ar:</t>
  </si>
  <si>
    <t>ArS:</t>
  </si>
  <si>
    <t>Live</t>
  </si>
  <si>
    <t>Q+W</t>
  </si>
  <si>
    <t>Target:</t>
  </si>
  <si>
    <t>Bonus HP:</t>
  </si>
  <si>
    <t>Q:</t>
  </si>
  <si>
    <t>W:</t>
  </si>
  <si>
    <t>E:</t>
  </si>
  <si>
    <t>DPS PBE / Live</t>
  </si>
  <si>
    <t>Item CDR</t>
  </si>
  <si>
    <t>RM CDR</t>
  </si>
  <si>
    <t>CDR</t>
  </si>
  <si>
    <t>Juggernaut</t>
  </si>
  <si>
    <t>4.19 DPS Max:</t>
  </si>
  <si>
    <t>DPS 4.21/4.19</t>
  </si>
  <si>
    <t>AA:</t>
  </si>
  <si>
    <t>Spells:</t>
  </si>
  <si>
    <t>Total:</t>
  </si>
  <si>
    <t>No Runes/Masteries AA DPS:</t>
  </si>
  <si>
    <t>9 AD Mas:</t>
  </si>
  <si>
    <t>Spells</t>
  </si>
  <si>
    <t>*Note: 4.20 has more DPS because I ran extra armor in 4.19</t>
  </si>
  <si>
    <t>Sunfire:</t>
  </si>
  <si>
    <t>Aegis of Legion</t>
  </si>
  <si>
    <t>68 CS</t>
  </si>
  <si>
    <t>1 Kill</t>
  </si>
  <si>
    <t>Level 9</t>
  </si>
  <si>
    <t>15 Mins Maokai</t>
  </si>
  <si>
    <t>Mobi's, Juggernaut, Giant's Belt</t>
  </si>
  <si>
    <t>20 Mins Maokai</t>
  </si>
  <si>
    <t>83 CS</t>
  </si>
  <si>
    <t>1 Kill 7 Assists</t>
  </si>
  <si>
    <t>Level 11</t>
  </si>
  <si>
    <t>Mobi's, Juggernaut, Randuin's</t>
  </si>
  <si>
    <t>20 Mins Maokai 4.21</t>
  </si>
  <si>
    <t>102 CS</t>
  </si>
  <si>
    <t>0-2</t>
  </si>
  <si>
    <t>Mobi's, Juggernaut, 400 away from Randuin's</t>
  </si>
  <si>
    <t>Ar</t>
  </si>
  <si>
    <t>Eff Armor</t>
  </si>
  <si>
    <t>Tabi</t>
  </si>
  <si>
    <t>Tabi Armor</t>
  </si>
  <si>
    <t>Cold Steel</t>
  </si>
  <si>
    <t>My DPS</t>
  </si>
  <si>
    <t>Secs/Kill</t>
  </si>
  <si>
    <t>Dmg Raw</t>
  </si>
  <si>
    <t>Damage Taken:</t>
  </si>
  <si>
    <t>w/ Arm</t>
  </si>
  <si>
    <t>w/ Regen</t>
  </si>
  <si>
    <t>Damage Taken w/ Smite:</t>
  </si>
  <si>
    <t>% Life Cost</t>
  </si>
  <si>
    <t>Base CD</t>
  </si>
  <si>
    <t>CDR CD</t>
  </si>
  <si>
    <t>To reach level</t>
  </si>
  <si>
    <t>XP</t>
  </si>
  <si>
    <t>Cumulative XP</t>
  </si>
  <si>
    <t>Minion Waves[1]</t>
  </si>
  <si>
    <t>Assumptions:</t>
  </si>
  <si>
    <t>100% of minion EXP received</t>
  </si>
  <si>
    <t>No champions or monsters killed</t>
  </si>
  <si>
    <t>Armor:</t>
  </si>
  <si>
    <t>Ohmwrecker</t>
  </si>
  <si>
    <t>5.5 MR Tank</t>
  </si>
  <si>
    <t>5.5 Rounded (HP)</t>
  </si>
  <si>
    <t>5.5 AD Tank</t>
  </si>
  <si>
    <t>5.5 Ohmwrecker</t>
  </si>
  <si>
    <t>5.4 AD Tank (30% item CDR + MR Runes)</t>
  </si>
  <si>
    <t>5.5 Rounded Thorn</t>
  </si>
  <si>
    <t>Cost</t>
  </si>
  <si>
    <t>Maokai</t>
  </si>
  <si>
    <t>Dmg</t>
  </si>
  <si>
    <t>P</t>
  </si>
  <si>
    <t>P:</t>
  </si>
  <si>
    <t>Subtotal:</t>
  </si>
  <si>
    <t>Jarvan</t>
  </si>
  <si>
    <t>Shyvana</t>
  </si>
  <si>
    <t>(P)</t>
  </si>
  <si>
    <t>E Bonus:</t>
  </si>
  <si>
    <t>Garen</t>
  </si>
  <si>
    <t>HP missing:</t>
  </si>
  <si>
    <t>Raptor's Cloak</t>
  </si>
  <si>
    <t>Reduced W</t>
  </si>
  <si>
    <t>EA, + W</t>
  </si>
  <si>
    <t>EA with W</t>
  </si>
  <si>
    <t>Armor + W to equal Current Armor</t>
  </si>
  <si>
    <t>W EA Increase</t>
  </si>
  <si>
    <t>Lethal Ult Range</t>
  </si>
  <si>
    <t>Target MR</t>
  </si>
  <si>
    <t>Target HP (Max)</t>
  </si>
  <si>
    <t>Ult Skill</t>
  </si>
  <si>
    <t>Ult Base</t>
  </si>
  <si>
    <t>Ult Ratio</t>
  </si>
  <si>
    <t>Formula for Lethal</t>
  </si>
  <si>
    <t>Q (Champs):</t>
  </si>
  <si>
    <t>Q (Monster):</t>
  </si>
  <si>
    <t>W (HP)</t>
  </si>
  <si>
    <t>W (Total)</t>
  </si>
  <si>
    <t>Damage</t>
  </si>
  <si>
    <t>Gragas</t>
  </si>
  <si>
    <t>Resistance</t>
  </si>
  <si>
    <t>Shred %</t>
  </si>
  <si>
    <t>Pre-Shred:</t>
  </si>
  <si>
    <t>Post-Shred:</t>
  </si>
  <si>
    <t>Increase:</t>
  </si>
  <si>
    <t>Dragon W:</t>
  </si>
  <si>
    <t>Total (Dragon Form:)</t>
  </si>
  <si>
    <t>Triforce</t>
  </si>
  <si>
    <t>Result</t>
  </si>
  <si>
    <t>0-6</t>
  </si>
  <si>
    <t>1-3</t>
  </si>
  <si>
    <t xml:space="preserve">Stacks </t>
  </si>
  <si>
    <t>(237 is bad)</t>
  </si>
  <si>
    <t>Triforce:</t>
  </si>
  <si>
    <t>Bork:</t>
  </si>
  <si>
    <t>R:</t>
  </si>
  <si>
    <t>Tryndamere</t>
  </si>
  <si>
    <t xml:space="preserve">2-3-4 </t>
  </si>
  <si>
    <t>Opponent</t>
  </si>
  <si>
    <t>Voli</t>
  </si>
  <si>
    <t>CS@10</t>
  </si>
  <si>
    <t>Notes</t>
  </si>
  <si>
    <t>Baited by fake TP, even after I saw him do it already.  Lost tower and 15cs</t>
  </si>
  <si>
    <t>CS@Time</t>
  </si>
  <si>
    <t>Jayce</t>
  </si>
  <si>
    <t>Decent defensive lane, until our mid roamed up.  I misplayed by going too early.  After one more roam from their mid, I kept dying under turret and the lane was snowballed.</t>
  </si>
  <si>
    <t xml:space="preserve">0-5-0 </t>
  </si>
  <si>
    <t>Darius</t>
  </si>
  <si>
    <t>Darius permapushed.  He came within 50hp of killing me at level 6 all-in, I didn't respect his damage.  Ignite would have finished me.  I was "lucky?" TP was up at just that time.  He Q'ed me twice before the all-in.  Later, Amumu came top and hid in the bush.  I was 300 range away from tower when I Q'ed to CS a minion.  They could have killed me at that very instant and I didn't even know it.  Throughout lane, Wukong came top and ganked for me, relieving a lot of pressure.</t>
  </si>
  <si>
    <t xml:space="preserve">0-0-4 </t>
  </si>
  <si>
    <t>Auto</t>
  </si>
  <si>
    <t>A Q E</t>
  </si>
  <si>
    <t>Penetration</t>
  </si>
  <si>
    <t>Runes</t>
  </si>
  <si>
    <t>Cleaver</t>
  </si>
  <si>
    <t>LW</t>
  </si>
  <si>
    <t>Total Pen Ratio</t>
  </si>
  <si>
    <t>Actual Damage</t>
  </si>
  <si>
    <t>Flat Pen Base</t>
  </si>
  <si>
    <t>Items</t>
  </si>
  <si>
    <t>Hydra</t>
  </si>
  <si>
    <t>HPS:</t>
  </si>
  <si>
    <t>Warlord:</t>
  </si>
  <si>
    <t>Irelia</t>
  </si>
  <si>
    <t>Hydra:</t>
  </si>
  <si>
    <t>IE:</t>
  </si>
  <si>
    <t>Q+E</t>
  </si>
  <si>
    <t>15 AD</t>
  </si>
  <si>
    <t>Arpen &amp; AD</t>
  </si>
  <si>
    <t>Renekton</t>
  </si>
  <si>
    <t>eQ +eW</t>
  </si>
  <si>
    <t>Healing</t>
  </si>
  <si>
    <t>Damage vs Garen Level 2</t>
  </si>
  <si>
    <t>Damage vs Renekton Level 2</t>
  </si>
  <si>
    <t>Damage vs Renekton Level 4</t>
  </si>
  <si>
    <t>Damage Taken</t>
  </si>
  <si>
    <t>Doran's</t>
  </si>
  <si>
    <t>e(Q+W+E)</t>
  </si>
  <si>
    <t>Damage vs Garen Level 4</t>
  </si>
  <si>
    <t>After Armor</t>
  </si>
  <si>
    <t>Level 18</t>
  </si>
  <si>
    <t>Level 2 All In</t>
  </si>
  <si>
    <t>E+A+QQQ+A</t>
  </si>
  <si>
    <t>Vlad</t>
  </si>
  <si>
    <t>Phys:</t>
  </si>
  <si>
    <t>Magic:</t>
  </si>
  <si>
    <t>Vlad Def</t>
  </si>
  <si>
    <t>Ignite:</t>
  </si>
  <si>
    <t>HP Remaining:</t>
  </si>
  <si>
    <t>W+Q+E+A</t>
  </si>
  <si>
    <t>MR:</t>
  </si>
  <si>
    <t>MRS:</t>
  </si>
  <si>
    <t>Trynd HP:</t>
  </si>
  <si>
    <t>Q+E+A</t>
  </si>
  <si>
    <t>Devourer:</t>
  </si>
  <si>
    <t>Flat Pen</t>
  </si>
  <si>
    <t>% Pen</t>
  </si>
  <si>
    <t>Flat Items:</t>
  </si>
  <si>
    <t>% Items:</t>
  </si>
  <si>
    <t>Shred Coeff:</t>
  </si>
  <si>
    <t>Flat Pen:</t>
  </si>
  <si>
    <t>Tgt Armor</t>
  </si>
  <si>
    <t>Shred</t>
  </si>
  <si>
    <t>Pen</t>
  </si>
  <si>
    <t>Remain</t>
  </si>
  <si>
    <t>% Damage</t>
  </si>
  <si>
    <t>Q+E+A Actual Damage</t>
  </si>
  <si>
    <t>Cleaver Only:</t>
  </si>
  <si>
    <t>Youmuu:</t>
  </si>
  <si>
    <t>Maw:</t>
  </si>
  <si>
    <t>LW:</t>
  </si>
  <si>
    <t>Tri:</t>
  </si>
  <si>
    <t>+Hydra</t>
  </si>
  <si>
    <t>Vayne</t>
  </si>
  <si>
    <t>Arpen</t>
  </si>
  <si>
    <t>+15.3 AD</t>
  </si>
  <si>
    <t>Sterak's Gage</t>
  </si>
  <si>
    <t>Dead Man's Plate</t>
  </si>
  <si>
    <t>Isolated</t>
  </si>
  <si>
    <t>Vi</t>
  </si>
  <si>
    <t>Q+E+A+T</t>
  </si>
  <si>
    <t>Titanic Hydra</t>
  </si>
  <si>
    <t>MRs:</t>
  </si>
  <si>
    <t>MRf:</t>
  </si>
  <si>
    <t>Damage (Mirror Matchup)</t>
  </si>
  <si>
    <t>A</t>
  </si>
  <si>
    <t>QA+A</t>
  </si>
  <si>
    <t>12 Arpen + 7 AD + Doran</t>
  </si>
  <si>
    <t>Bonus Ar:</t>
  </si>
  <si>
    <t>% BArPen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</si>
</sst>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1" fillId="0" borderId="0" xfId="0" applyFont="1"/>
    <xf numFmtId="0" fontId="0" fillId="0" borderId="0" xfId="0" applyFont="1"/>
    <xf numFmtId="49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AL136"/>
  <sheetViews>
    <sheetView zoomScaleNormal="100" workbookViewId="0">
      <selection activeCell="F12" sqref="F12"/>
    </sheetView>
  </sheetViews>
  <sheetFormatPr defaultRowHeight="15" x14ac:dyDescent="0.25"/>
  <cols>
    <col min="3" max="3" width="19.5703125" customWidth="1"/>
  </cols>
  <sheetData>
    <row r="3" spans="2:27" x14ac:dyDescent="0.25">
      <c r="B3" t="s">
        <v>286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Q3" t="s">
        <v>236</v>
      </c>
      <c r="R3" t="s">
        <v>4</v>
      </c>
      <c r="U3" t="s">
        <v>5</v>
      </c>
      <c r="X3" t="s">
        <v>134</v>
      </c>
      <c r="Z3" t="s">
        <v>157</v>
      </c>
    </row>
    <row r="4" spans="2:27" x14ac:dyDescent="0.25">
      <c r="B4" t="s">
        <v>6</v>
      </c>
      <c r="C4">
        <v>18</v>
      </c>
      <c r="E4" t="s">
        <v>124</v>
      </c>
      <c r="F4">
        <v>17.000000000000004</v>
      </c>
      <c r="H4" t="s">
        <v>7</v>
      </c>
      <c r="I4">
        <v>572.20000000000005</v>
      </c>
      <c r="J4">
        <v>90</v>
      </c>
      <c r="L4" t="s">
        <v>7</v>
      </c>
      <c r="M4">
        <f>I4+J4*$F$4</f>
        <v>2102.2000000000003</v>
      </c>
      <c r="O4" t="s">
        <v>9</v>
      </c>
      <c r="P4">
        <f>J86+M8</f>
        <v>121.64400000000001</v>
      </c>
      <c r="Q4">
        <v>1</v>
      </c>
      <c r="R4" t="s">
        <v>10</v>
      </c>
      <c r="S4">
        <f>Q4*(4+10/18*C4)</f>
        <v>14</v>
      </c>
      <c r="U4" t="s">
        <v>10</v>
      </c>
      <c r="V4">
        <v>0</v>
      </c>
      <c r="X4">
        <v>1000</v>
      </c>
      <c r="Z4" t="s">
        <v>19</v>
      </c>
      <c r="AA4">
        <f>I9</f>
        <v>0.69399999999999995</v>
      </c>
    </row>
    <row r="5" spans="2:27" x14ac:dyDescent="0.25">
      <c r="H5" t="s">
        <v>120</v>
      </c>
      <c r="I5">
        <v>8.6750000000000007</v>
      </c>
      <c r="J5">
        <v>0.85</v>
      </c>
      <c r="L5" t="s">
        <v>120</v>
      </c>
      <c r="M5">
        <f t="shared" ref="M5:M12" si="0">I5+J5*$F$4</f>
        <v>23.125000000000004</v>
      </c>
      <c r="O5" t="s">
        <v>12</v>
      </c>
      <c r="P5">
        <f>M9+I9*K86</f>
        <v>0.94470750000000003</v>
      </c>
      <c r="R5" t="s">
        <v>13</v>
      </c>
      <c r="S5">
        <v>0</v>
      </c>
      <c r="U5" t="s">
        <v>13</v>
      </c>
      <c r="V5">
        <v>0</v>
      </c>
      <c r="Z5" t="s">
        <v>168</v>
      </c>
      <c r="AA5">
        <f>F4*J9</f>
        <v>0.36125000000000013</v>
      </c>
    </row>
    <row r="6" spans="2:27" x14ac:dyDescent="0.25">
      <c r="H6" t="s">
        <v>121</v>
      </c>
      <c r="I6">
        <v>327.27999999999997</v>
      </c>
      <c r="J6">
        <v>46</v>
      </c>
      <c r="L6" t="s">
        <v>121</v>
      </c>
      <c r="M6">
        <f t="shared" si="0"/>
        <v>1109.2800000000002</v>
      </c>
      <c r="R6" t="s">
        <v>16</v>
      </c>
      <c r="S6">
        <f>J86</f>
        <v>0</v>
      </c>
      <c r="U6" t="s">
        <v>16</v>
      </c>
      <c r="V6">
        <v>0</v>
      </c>
      <c r="Z6" t="s">
        <v>10</v>
      </c>
      <c r="AA6">
        <v>0</v>
      </c>
    </row>
    <row r="7" spans="2:27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I7">
        <v>7.2050000000000001</v>
      </c>
      <c r="J7">
        <v>0.45</v>
      </c>
      <c r="L7" t="s">
        <v>122</v>
      </c>
      <c r="M7">
        <f t="shared" si="0"/>
        <v>14.855000000000002</v>
      </c>
      <c r="O7" t="s">
        <v>7</v>
      </c>
      <c r="P7">
        <f>M4+L20</f>
        <v>3452.2000000000003</v>
      </c>
      <c r="R7" s="2"/>
      <c r="Z7" t="s">
        <v>158</v>
      </c>
      <c r="AA7">
        <v>0.28000000000000003</v>
      </c>
    </row>
    <row r="8" spans="2:27" x14ac:dyDescent="0.25">
      <c r="B8" t="s">
        <v>25</v>
      </c>
      <c r="C8">
        <v>5</v>
      </c>
      <c r="D8">
        <f>25+45*C8</f>
        <v>250</v>
      </c>
      <c r="E8">
        <f>0.4*V10</f>
        <v>0</v>
      </c>
      <c r="F8">
        <f>E8+D8</f>
        <v>250</v>
      </c>
      <c r="H8" t="s">
        <v>8</v>
      </c>
      <c r="I8">
        <v>65.543999999999997</v>
      </c>
      <c r="J8">
        <v>3.3</v>
      </c>
      <c r="L8" t="s">
        <v>8</v>
      </c>
      <c r="M8">
        <f t="shared" si="0"/>
        <v>121.64400000000001</v>
      </c>
      <c r="O8" t="s">
        <v>120</v>
      </c>
      <c r="P8">
        <f>(M5+M5*M20+N20+V17*0.01)*(1+0.2*B29)</f>
        <v>126.35119200000001</v>
      </c>
      <c r="R8" t="s">
        <v>26</v>
      </c>
      <c r="S8">
        <f>SUM(S4:S7)</f>
        <v>14</v>
      </c>
      <c r="U8" t="s">
        <v>26</v>
      </c>
      <c r="V8">
        <f>SUM(V4:V7)</f>
        <v>0</v>
      </c>
      <c r="Z8" t="s">
        <v>159</v>
      </c>
      <c r="AA8">
        <f>K86</f>
        <v>0</v>
      </c>
    </row>
    <row r="9" spans="2:27" x14ac:dyDescent="0.25">
      <c r="H9" t="s">
        <v>14</v>
      </c>
      <c r="I9">
        <v>0.69399999999999995</v>
      </c>
      <c r="J9">
        <v>2.1250000000000002E-2</v>
      </c>
      <c r="L9" t="s">
        <v>14</v>
      </c>
      <c r="M9">
        <f>I9+I9*J9*$F$4</f>
        <v>0.94470750000000003</v>
      </c>
      <c r="O9" t="s">
        <v>15</v>
      </c>
      <c r="P9">
        <f>M10+J20</f>
        <v>366.72</v>
      </c>
    </row>
    <row r="10" spans="2:27" x14ac:dyDescent="0.25">
      <c r="H10" t="s">
        <v>15</v>
      </c>
      <c r="I10">
        <v>28.72</v>
      </c>
      <c r="J10">
        <v>4</v>
      </c>
      <c r="L10" t="s">
        <v>15</v>
      </c>
      <c r="M10">
        <f t="shared" si="0"/>
        <v>96.720000000000013</v>
      </c>
      <c r="O10" t="s">
        <v>23</v>
      </c>
      <c r="P10">
        <f>M11+K20</f>
        <v>206.35000000000002</v>
      </c>
      <c r="R10" t="s">
        <v>31</v>
      </c>
      <c r="S10">
        <f>S8+P4</f>
        <v>135.64400000000001</v>
      </c>
      <c r="U10" t="s">
        <v>32</v>
      </c>
      <c r="V10">
        <v>0</v>
      </c>
      <c r="Z10" t="s">
        <v>160</v>
      </c>
      <c r="AA10">
        <f>(1+SUM(AA5:AA8))*AA4</f>
        <v>1.1390275000000001</v>
      </c>
    </row>
    <row r="11" spans="2:27" x14ac:dyDescent="0.25">
      <c r="B11" t="s">
        <v>29</v>
      </c>
      <c r="C11">
        <v>5</v>
      </c>
      <c r="D11">
        <f>0.08+0.01*C11</f>
        <v>0.13</v>
      </c>
      <c r="E11">
        <f>0.0003*V10</f>
        <v>0</v>
      </c>
      <c r="F11">
        <f>E11+D11</f>
        <v>0.13</v>
      </c>
      <c r="H11" t="s">
        <v>23</v>
      </c>
      <c r="I11">
        <v>32.1</v>
      </c>
      <c r="J11">
        <v>1.25</v>
      </c>
      <c r="L11" t="s">
        <v>23</v>
      </c>
      <c r="M11">
        <f t="shared" si="0"/>
        <v>53.350000000000009</v>
      </c>
    </row>
    <row r="12" spans="2:27" x14ac:dyDescent="0.25">
      <c r="H12" t="s">
        <v>123</v>
      </c>
      <c r="I12">
        <v>335</v>
      </c>
      <c r="L12" t="s">
        <v>123</v>
      </c>
      <c r="M12">
        <f t="shared" si="0"/>
        <v>335</v>
      </c>
      <c r="O12" t="s">
        <v>91</v>
      </c>
      <c r="R12" t="s">
        <v>86</v>
      </c>
      <c r="U12" t="s">
        <v>88</v>
      </c>
      <c r="X12" t="s">
        <v>95</v>
      </c>
    </row>
    <row r="13" spans="2:27" x14ac:dyDescent="0.25">
      <c r="O13" t="s">
        <v>92</v>
      </c>
      <c r="P13">
        <v>2</v>
      </c>
      <c r="R13" t="s">
        <v>2</v>
      </c>
      <c r="S13">
        <f>M10</f>
        <v>96.720000000000013</v>
      </c>
      <c r="U13" t="s">
        <v>2</v>
      </c>
      <c r="V13">
        <f>M4</f>
        <v>2102.2000000000003</v>
      </c>
      <c r="X13" t="s">
        <v>2</v>
      </c>
      <c r="Y13">
        <f>M11</f>
        <v>53.350000000000009</v>
      </c>
    </row>
    <row r="14" spans="2:27" x14ac:dyDescent="0.25">
      <c r="B14" t="s">
        <v>33</v>
      </c>
      <c r="C14">
        <v>5</v>
      </c>
      <c r="D14">
        <f>60+60*C14</f>
        <v>360</v>
      </c>
      <c r="E14">
        <f>V10</f>
        <v>0</v>
      </c>
      <c r="F14">
        <f>E14+D14</f>
        <v>360</v>
      </c>
      <c r="O14" t="s">
        <v>93</v>
      </c>
      <c r="P14">
        <v>1</v>
      </c>
      <c r="R14" t="s">
        <v>10</v>
      </c>
      <c r="S14">
        <f>5+2*P15</f>
        <v>5</v>
      </c>
      <c r="U14" t="s">
        <v>16</v>
      </c>
      <c r="V14">
        <f>L20</f>
        <v>1350</v>
      </c>
      <c r="X14" t="s">
        <v>10</v>
      </c>
      <c r="Y14">
        <f>1*P15</f>
        <v>0</v>
      </c>
    </row>
    <row r="15" spans="2:27" x14ac:dyDescent="0.25">
      <c r="O15" t="s">
        <v>94</v>
      </c>
      <c r="P15">
        <v>0</v>
      </c>
      <c r="R15" t="s">
        <v>13</v>
      </c>
      <c r="S15">
        <f>P16+P17/18*C4</f>
        <v>9</v>
      </c>
      <c r="U15" t="s">
        <v>10</v>
      </c>
      <c r="V15">
        <f>36+0.03*(V13+V14)*P14</f>
        <v>139.566</v>
      </c>
      <c r="X15" t="s">
        <v>13</v>
      </c>
      <c r="Y15">
        <v>0</v>
      </c>
    </row>
    <row r="16" spans="2:27" x14ac:dyDescent="0.25">
      <c r="B16" t="s">
        <v>34</v>
      </c>
      <c r="C16">
        <v>3</v>
      </c>
      <c r="D16">
        <f>100+100*C16</f>
        <v>400</v>
      </c>
      <c r="E16">
        <f>0.5*V10</f>
        <v>0</v>
      </c>
      <c r="F16">
        <f>E16+D16</f>
        <v>400</v>
      </c>
      <c r="G16" t="s">
        <v>0</v>
      </c>
      <c r="N16" t="s">
        <v>158</v>
      </c>
      <c r="O16" t="s">
        <v>216</v>
      </c>
      <c r="P16">
        <v>9</v>
      </c>
      <c r="R16" t="s">
        <v>16</v>
      </c>
      <c r="S16">
        <f>J20</f>
        <v>270</v>
      </c>
      <c r="X16" t="s">
        <v>16</v>
      </c>
      <c r="Y16">
        <f>K20</f>
        <v>153</v>
      </c>
    </row>
    <row r="17" spans="1:38" x14ac:dyDescent="0.25">
      <c r="O17" t="s">
        <v>217</v>
      </c>
      <c r="P17">
        <v>0</v>
      </c>
      <c r="R17" s="2"/>
      <c r="S17" s="2"/>
      <c r="U17" t="s">
        <v>89</v>
      </c>
      <c r="V17">
        <f>SUM(V13:V15)</f>
        <v>3591.7660000000001</v>
      </c>
    </row>
    <row r="18" spans="1:38" x14ac:dyDescent="0.25">
      <c r="J18" s="2" t="s">
        <v>40</v>
      </c>
      <c r="R18" t="s">
        <v>10</v>
      </c>
      <c r="S18">
        <f>P13*0.025*SUM(S14:S17)</f>
        <v>14.200000000000001</v>
      </c>
      <c r="X18" t="s">
        <v>10</v>
      </c>
      <c r="Y18">
        <f>P13*0.025*SUM(Y14:Y17)</f>
        <v>7.65</v>
      </c>
    </row>
    <row r="19" spans="1:38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</row>
    <row r="20" spans="1:38" x14ac:dyDescent="0.25">
      <c r="C20" t="s">
        <v>74</v>
      </c>
      <c r="F20">
        <v>1000</v>
      </c>
      <c r="J20">
        <f>D81</f>
        <v>270</v>
      </c>
      <c r="K20">
        <f>E81</f>
        <v>153</v>
      </c>
      <c r="L20">
        <f>F81*(1+0.25*B37)</f>
        <v>1350</v>
      </c>
      <c r="M20">
        <f>G81</f>
        <v>2</v>
      </c>
      <c r="N20">
        <f>H81</f>
        <v>0</v>
      </c>
      <c r="R20" t="s">
        <v>90</v>
      </c>
      <c r="S20">
        <f>SUM(S13:S18)</f>
        <v>394.92</v>
      </c>
      <c r="X20" t="s">
        <v>96</v>
      </c>
      <c r="Y20">
        <f>SUM(Y13:Y18)</f>
        <v>214.00000000000003</v>
      </c>
    </row>
    <row r="21" spans="1:38" x14ac:dyDescent="0.25">
      <c r="C21" t="s">
        <v>117</v>
      </c>
      <c r="F21">
        <v>800</v>
      </c>
      <c r="H21">
        <f>V17*0.03</f>
        <v>107.75297999999999</v>
      </c>
    </row>
    <row r="22" spans="1:38" x14ac:dyDescent="0.25">
      <c r="C22" t="s">
        <v>75</v>
      </c>
      <c r="F22">
        <v>700</v>
      </c>
      <c r="R22" t="s">
        <v>98</v>
      </c>
      <c r="S22" t="s">
        <v>99</v>
      </c>
      <c r="U22" t="s">
        <v>100</v>
      </c>
      <c r="V22" t="s">
        <v>101</v>
      </c>
      <c r="W22">
        <v>4.1900000000000004</v>
      </c>
      <c r="X22">
        <v>5.3</v>
      </c>
      <c r="Y22" t="s">
        <v>118</v>
      </c>
      <c r="AB22" t="s">
        <v>280</v>
      </c>
      <c r="AD22" t="s">
        <v>279</v>
      </c>
      <c r="AF22" t="s">
        <v>281</v>
      </c>
      <c r="AH22" t="s">
        <v>282</v>
      </c>
      <c r="AJ22" t="s">
        <v>284</v>
      </c>
      <c r="AL22" t="s">
        <v>283</v>
      </c>
    </row>
    <row r="23" spans="1:38" x14ac:dyDescent="0.25">
      <c r="C23" t="s">
        <v>80</v>
      </c>
      <c r="F23">
        <v>650</v>
      </c>
      <c r="P23" s="2" t="s">
        <v>97</v>
      </c>
      <c r="R23">
        <v>0</v>
      </c>
      <c r="S23">
        <v>0.06</v>
      </c>
      <c r="U23">
        <f>$S$20*(1-S23)-R23</f>
        <v>371.22480000000002</v>
      </c>
      <c r="V23">
        <f>$V$17*(100+U23)/100</f>
        <v>16925.292149968001</v>
      </c>
      <c r="W23">
        <v>20715.592674699998</v>
      </c>
      <c r="X23">
        <v>16960</v>
      </c>
      <c r="Y23">
        <f>($V$17+$B$30*(50+10*$C$4))*(100+U23)/100</f>
        <v>16925.292149968001</v>
      </c>
      <c r="Z23">
        <f>Y23/W23</f>
        <v>0.81703151899867688</v>
      </c>
      <c r="AB23">
        <v>17558</v>
      </c>
      <c r="AD23">
        <v>14874</v>
      </c>
      <c r="AF23">
        <v>19183</v>
      </c>
      <c r="AH23">
        <v>17037</v>
      </c>
      <c r="AJ23">
        <v>17844</v>
      </c>
      <c r="AL23">
        <v>19898</v>
      </c>
    </row>
    <row r="24" spans="1:38" x14ac:dyDescent="0.25">
      <c r="A24">
        <v>1</v>
      </c>
      <c r="B24">
        <v>1</v>
      </c>
      <c r="C24" t="s">
        <v>76</v>
      </c>
      <c r="D24">
        <v>70</v>
      </c>
      <c r="F24">
        <v>500</v>
      </c>
      <c r="J24" s="2"/>
      <c r="L24" s="2"/>
      <c r="R24">
        <v>0</v>
      </c>
      <c r="S24">
        <v>0.38900000000000001</v>
      </c>
      <c r="U24">
        <f>$S$20*(1-S24)-R24</f>
        <v>241.29612</v>
      </c>
      <c r="V24">
        <f>$V$17*(100+U24)/100</f>
        <v>12258.557997479198</v>
      </c>
      <c r="Y24">
        <f>($V$17+$B$30*(50+10*$C$4))*(100+U24)/100</f>
        <v>12258.557997479198</v>
      </c>
      <c r="AF24">
        <v>13865</v>
      </c>
    </row>
    <row r="25" spans="1:38" x14ac:dyDescent="0.25">
      <c r="C25" t="s">
        <v>83</v>
      </c>
      <c r="F25">
        <v>500</v>
      </c>
      <c r="G25">
        <v>1</v>
      </c>
      <c r="R25">
        <v>20</v>
      </c>
      <c r="S25">
        <v>0.06</v>
      </c>
      <c r="U25">
        <f>$S$20*(1-S25)-R25</f>
        <v>351.22480000000002</v>
      </c>
      <c r="V25">
        <f>$V$17*(100+U25)/100</f>
        <v>16206.938949968</v>
      </c>
      <c r="Y25">
        <f>($V$17+$B$30*(50+10*$C$4))*(100+U25)/100</f>
        <v>16206.938949968</v>
      </c>
    </row>
    <row r="26" spans="1:38" x14ac:dyDescent="0.25">
      <c r="C26" t="s">
        <v>229</v>
      </c>
      <c r="F26">
        <v>500</v>
      </c>
      <c r="R26">
        <v>20</v>
      </c>
      <c r="S26">
        <v>0.38900000000000001</v>
      </c>
      <c r="U26">
        <f>$S$20*(1-S26)-R26</f>
        <v>221.29612</v>
      </c>
      <c r="V26">
        <f>$V$17*(100+U26)/100</f>
        <v>11540.204797479199</v>
      </c>
      <c r="Y26">
        <f>($V$17+$B$30*(50+10*$C$4))*(100+U26)/100</f>
        <v>11540.204797479199</v>
      </c>
      <c r="AB26">
        <v>12268</v>
      </c>
      <c r="AD26">
        <v>10456</v>
      </c>
      <c r="AF26">
        <v>13067</v>
      </c>
      <c r="AH26">
        <v>11842</v>
      </c>
      <c r="AJ26">
        <v>12299</v>
      </c>
      <c r="AL26">
        <v>13524</v>
      </c>
    </row>
    <row r="27" spans="1:38" x14ac:dyDescent="0.25">
      <c r="A27">
        <v>1</v>
      </c>
      <c r="C27" t="s">
        <v>77</v>
      </c>
      <c r="D27">
        <v>45</v>
      </c>
      <c r="F27">
        <v>450</v>
      </c>
      <c r="R27">
        <v>10</v>
      </c>
      <c r="S27">
        <f>1-(1*0.94*0.65*0.75)</f>
        <v>0.54174999999999995</v>
      </c>
      <c r="U27">
        <f>$S$20*(1-S27)-R27</f>
        <v>170.97209000000004</v>
      </c>
      <c r="V27">
        <f>$V$17*(100+U27)/100</f>
        <v>9732.6833981094023</v>
      </c>
      <c r="W27">
        <v>12376.585678916252</v>
      </c>
      <c r="Y27">
        <f>($V$17+$B$30*(50+10*$C$4))*(100+U27)/100</f>
        <v>9732.6833981094023</v>
      </c>
      <c r="Z27">
        <f>Y27/W27</f>
        <v>0.78637870335186322</v>
      </c>
      <c r="AB27">
        <v>10911</v>
      </c>
      <c r="AD27">
        <v>9417</v>
      </c>
      <c r="AF27">
        <v>10998</v>
      </c>
      <c r="AH27">
        <v>10418</v>
      </c>
      <c r="AJ27">
        <v>10626</v>
      </c>
      <c r="AL27">
        <v>11324</v>
      </c>
    </row>
    <row r="28" spans="1:38" x14ac:dyDescent="0.25">
      <c r="A28">
        <v>1</v>
      </c>
      <c r="B28">
        <v>1</v>
      </c>
      <c r="C28" t="s">
        <v>78</v>
      </c>
      <c r="E28">
        <v>55</v>
      </c>
      <c r="F28">
        <v>450</v>
      </c>
      <c r="G28">
        <v>1</v>
      </c>
    </row>
    <row r="29" spans="1:38" x14ac:dyDescent="0.25">
      <c r="A29">
        <v>1</v>
      </c>
      <c r="B29">
        <v>1</v>
      </c>
      <c r="C29" t="s">
        <v>79</v>
      </c>
      <c r="E29">
        <v>55</v>
      </c>
      <c r="F29">
        <v>400</v>
      </c>
      <c r="G29">
        <v>1</v>
      </c>
    </row>
    <row r="30" spans="1:38" x14ac:dyDescent="0.25">
      <c r="A30">
        <v>1</v>
      </c>
      <c r="C30" t="s">
        <v>81</v>
      </c>
      <c r="E30">
        <v>40</v>
      </c>
      <c r="F30">
        <v>400</v>
      </c>
      <c r="G30">
        <v>0.75</v>
      </c>
    </row>
    <row r="31" spans="1:38" x14ac:dyDescent="0.25">
      <c r="C31" t="s">
        <v>82</v>
      </c>
      <c r="F31">
        <v>400</v>
      </c>
      <c r="L31" s="2"/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  <c r="X31">
        <v>5.3</v>
      </c>
    </row>
    <row r="32" spans="1:38" x14ac:dyDescent="0.25">
      <c r="C32" t="s">
        <v>84</v>
      </c>
      <c r="F32">
        <v>380</v>
      </c>
      <c r="R32">
        <v>0</v>
      </c>
      <c r="S32">
        <v>0.06</v>
      </c>
      <c r="U32">
        <f t="shared" ref="U32:U37" si="1">$Y$20*(1-S32)-R32</f>
        <v>201.16000000000003</v>
      </c>
      <c r="V32">
        <f t="shared" ref="V32:V37" si="2">$V$17*(100+U32)/100</f>
        <v>10816.962485600003</v>
      </c>
      <c r="W32">
        <v>11332.5147474</v>
      </c>
      <c r="X32">
        <v>14352</v>
      </c>
      <c r="Y32">
        <f t="shared" ref="Y32:Y37" si="3">($V$17+$B$30*(50+10*$C$4))*(100+U32)/100</f>
        <v>10816.962485600003</v>
      </c>
      <c r="Z32">
        <f>Y32/W32</f>
        <v>0.95450680865707416</v>
      </c>
      <c r="AB32">
        <v>13906</v>
      </c>
      <c r="AD32">
        <v>16953</v>
      </c>
      <c r="AF32">
        <v>9143</v>
      </c>
      <c r="AH32">
        <v>13757</v>
      </c>
      <c r="AJ32">
        <v>12546</v>
      </c>
      <c r="AL32">
        <v>10303</v>
      </c>
    </row>
    <row r="33" spans="1:38" x14ac:dyDescent="0.25">
      <c r="C33" t="s">
        <v>278</v>
      </c>
      <c r="D33">
        <v>50</v>
      </c>
      <c r="F33">
        <v>300</v>
      </c>
      <c r="R33">
        <v>0</v>
      </c>
      <c r="S33">
        <v>0.38900000000000001</v>
      </c>
      <c r="U33">
        <f t="shared" si="1"/>
        <v>130.75400000000002</v>
      </c>
      <c r="V33">
        <f t="shared" si="2"/>
        <v>8288.1437156400007</v>
      </c>
      <c r="Y33">
        <f t="shared" si="3"/>
        <v>8288.1437156400007</v>
      </c>
    </row>
    <row r="34" spans="1:38" x14ac:dyDescent="0.25">
      <c r="C34" t="s">
        <v>59</v>
      </c>
      <c r="F34">
        <v>250</v>
      </c>
      <c r="R34">
        <v>15</v>
      </c>
      <c r="S34">
        <v>0.06</v>
      </c>
      <c r="U34">
        <f t="shared" si="1"/>
        <v>186.16000000000003</v>
      </c>
      <c r="V34">
        <f t="shared" si="2"/>
        <v>10278.197585600001</v>
      </c>
      <c r="Y34">
        <f t="shared" si="3"/>
        <v>10278.197585600001</v>
      </c>
    </row>
    <row r="35" spans="1:38" x14ac:dyDescent="0.25">
      <c r="C35" t="s">
        <v>240</v>
      </c>
      <c r="E35">
        <v>40</v>
      </c>
      <c r="F35">
        <v>200</v>
      </c>
      <c r="R35">
        <v>15</v>
      </c>
      <c r="S35">
        <v>0.38900000000000001</v>
      </c>
      <c r="U35">
        <f t="shared" si="1"/>
        <v>115.75400000000002</v>
      </c>
      <c r="V35">
        <f t="shared" si="2"/>
        <v>7749.3788156400005</v>
      </c>
      <c r="Y35">
        <f t="shared" si="3"/>
        <v>7749.3788156400005</v>
      </c>
      <c r="AB35">
        <v>10179</v>
      </c>
      <c r="AD35">
        <v>12069</v>
      </c>
      <c r="AF35">
        <v>6741</v>
      </c>
      <c r="AH35">
        <v>9966</v>
      </c>
      <c r="AJ35">
        <v>9089</v>
      </c>
      <c r="AL35">
        <v>7484</v>
      </c>
    </row>
    <row r="36" spans="1:38" x14ac:dyDescent="0.25">
      <c r="C36" t="s">
        <v>107</v>
      </c>
      <c r="F36">
        <v>150</v>
      </c>
      <c r="R36">
        <v>30</v>
      </c>
      <c r="S36">
        <v>0.06</v>
      </c>
      <c r="U36">
        <f t="shared" si="1"/>
        <v>171.16000000000003</v>
      </c>
      <c r="V36">
        <f t="shared" si="2"/>
        <v>9739.4326856000007</v>
      </c>
      <c r="Y36">
        <f t="shared" si="3"/>
        <v>9739.4326856000007</v>
      </c>
    </row>
    <row r="37" spans="1:38" x14ac:dyDescent="0.25">
      <c r="C37" t="s">
        <v>85</v>
      </c>
      <c r="F37">
        <v>350</v>
      </c>
      <c r="I37">
        <f>(V14+V15)*0.25</f>
        <v>372.39150000000001</v>
      </c>
      <c r="R37">
        <v>30</v>
      </c>
      <c r="S37">
        <v>0.38900000000000001</v>
      </c>
      <c r="U37">
        <f t="shared" si="1"/>
        <v>100.75400000000002</v>
      </c>
      <c r="V37">
        <f t="shared" si="2"/>
        <v>7210.6139156400004</v>
      </c>
      <c r="W37">
        <v>7642.2235858100003</v>
      </c>
      <c r="Y37">
        <f t="shared" si="3"/>
        <v>7210.6139156400004</v>
      </c>
      <c r="Z37">
        <f>Y37/W37</f>
        <v>0.94352302503012242</v>
      </c>
      <c r="AB37">
        <v>9324</v>
      </c>
      <c r="AD37">
        <v>11282</v>
      </c>
      <c r="AF37">
        <v>6142</v>
      </c>
      <c r="AH37">
        <v>9198</v>
      </c>
      <c r="AJ37">
        <v>8389</v>
      </c>
      <c r="AL37">
        <v>6894</v>
      </c>
    </row>
    <row r="38" spans="1:38" x14ac:dyDescent="0.25">
      <c r="C38" t="s">
        <v>115</v>
      </c>
      <c r="F38">
        <v>80</v>
      </c>
      <c r="H38">
        <v>6</v>
      </c>
    </row>
    <row r="39" spans="1:38" x14ac:dyDescent="0.25">
      <c r="B39">
        <v>1</v>
      </c>
      <c r="C39" t="s">
        <v>106</v>
      </c>
      <c r="D39">
        <v>100</v>
      </c>
      <c r="X39">
        <v>15700</v>
      </c>
      <c r="AA39" t="s">
        <v>285</v>
      </c>
      <c r="AB39">
        <v>14150</v>
      </c>
      <c r="AD39">
        <v>14600</v>
      </c>
      <c r="AF39">
        <v>13600</v>
      </c>
      <c r="AH39">
        <v>14450</v>
      </c>
      <c r="AJ39">
        <v>13950</v>
      </c>
      <c r="AL39">
        <v>14950</v>
      </c>
    </row>
    <row r="40" spans="1:38" x14ac:dyDescent="0.25">
      <c r="B40">
        <v>1</v>
      </c>
      <c r="C40" t="s">
        <v>105</v>
      </c>
      <c r="D40">
        <v>100</v>
      </c>
      <c r="X40">
        <v>14750</v>
      </c>
    </row>
    <row r="41" spans="1:38" x14ac:dyDescent="0.25">
      <c r="C41" t="s">
        <v>113</v>
      </c>
      <c r="D41">
        <v>50</v>
      </c>
    </row>
    <row r="42" spans="1:38" x14ac:dyDescent="0.25">
      <c r="C42" t="s">
        <v>108</v>
      </c>
      <c r="D42">
        <v>40</v>
      </c>
      <c r="L42" t="s">
        <v>220</v>
      </c>
      <c r="M42">
        <v>2000</v>
      </c>
      <c r="Q42" t="s">
        <v>226</v>
      </c>
      <c r="R42">
        <v>10</v>
      </c>
    </row>
    <row r="43" spans="1:38" x14ac:dyDescent="0.25">
      <c r="A43">
        <v>1</v>
      </c>
      <c r="C43" t="s">
        <v>109</v>
      </c>
      <c r="D43">
        <v>25</v>
      </c>
      <c r="L43" t="s">
        <v>221</v>
      </c>
      <c r="M43">
        <v>2200</v>
      </c>
      <c r="Q43" t="s">
        <v>227</v>
      </c>
      <c r="R43">
        <f>5+1.67/18*B2*9</f>
        <v>5</v>
      </c>
    </row>
    <row r="44" spans="1:38" x14ac:dyDescent="0.25">
      <c r="C44" t="s">
        <v>114</v>
      </c>
      <c r="D44">
        <v>15</v>
      </c>
      <c r="L44" t="s">
        <v>89</v>
      </c>
      <c r="M44">
        <v>4400</v>
      </c>
      <c r="Q44" t="s">
        <v>228</v>
      </c>
      <c r="R44">
        <v>35</v>
      </c>
      <c r="W44" t="s">
        <v>244</v>
      </c>
    </row>
    <row r="45" spans="1:38" x14ac:dyDescent="0.25">
      <c r="C45" t="s">
        <v>116</v>
      </c>
      <c r="E45">
        <v>50</v>
      </c>
      <c r="W45" t="s">
        <v>241</v>
      </c>
    </row>
    <row r="46" spans="1:38" x14ac:dyDescent="0.25">
      <c r="B46">
        <v>1</v>
      </c>
      <c r="C46" t="s">
        <v>127</v>
      </c>
      <c r="E46">
        <f>3/18*6*C4</f>
        <v>18</v>
      </c>
      <c r="M46" t="s">
        <v>218</v>
      </c>
      <c r="N46" t="s">
        <v>268</v>
      </c>
      <c r="O46" t="s">
        <v>269</v>
      </c>
      <c r="W46" t="s">
        <v>242</v>
      </c>
    </row>
    <row r="47" spans="1:38" x14ac:dyDescent="0.25">
      <c r="C47" t="s">
        <v>119</v>
      </c>
      <c r="D47">
        <v>2</v>
      </c>
      <c r="E47">
        <v>0.9</v>
      </c>
      <c r="F47">
        <v>129</v>
      </c>
      <c r="L47" t="s">
        <v>25</v>
      </c>
      <c r="M47">
        <f>F8</f>
        <v>250</v>
      </c>
      <c r="N47">
        <v>6</v>
      </c>
      <c r="O47">
        <f>(1-0.01*$R$44)*N47</f>
        <v>3.8999999999999995</v>
      </c>
      <c r="W47" t="s">
        <v>243</v>
      </c>
    </row>
    <row r="48" spans="1:38" x14ac:dyDescent="0.25">
      <c r="B48">
        <v>1</v>
      </c>
      <c r="C48" t="s">
        <v>110</v>
      </c>
      <c r="E48">
        <v>25</v>
      </c>
      <c r="W48" t="s">
        <v>245</v>
      </c>
    </row>
    <row r="50" spans="3:27" x14ac:dyDescent="0.25">
      <c r="L50" t="s">
        <v>29</v>
      </c>
      <c r="M50">
        <f>F11</f>
        <v>0.13</v>
      </c>
      <c r="N50">
        <f>14-1*C11</f>
        <v>9</v>
      </c>
      <c r="O50">
        <f>(1-0.01*$R$44)*N50</f>
        <v>5.85</v>
      </c>
      <c r="W50" t="s">
        <v>246</v>
      </c>
      <c r="AA50" t="s">
        <v>251</v>
      </c>
    </row>
    <row r="51" spans="3:27" x14ac:dyDescent="0.25">
      <c r="C51" s="2" t="s">
        <v>72</v>
      </c>
      <c r="M51">
        <f>M50*M42</f>
        <v>260</v>
      </c>
      <c r="O51">
        <f>O50</f>
        <v>5.85</v>
      </c>
      <c r="W51" t="s">
        <v>247</v>
      </c>
      <c r="AA51" t="s">
        <v>252</v>
      </c>
    </row>
    <row r="52" spans="3:27" x14ac:dyDescent="0.25">
      <c r="D52">
        <f>D20*$B20</f>
        <v>0</v>
      </c>
      <c r="E52">
        <f>E20*$B20</f>
        <v>0</v>
      </c>
      <c r="F52">
        <f>F20*$B20</f>
        <v>0</v>
      </c>
      <c r="G52">
        <f>G20*$B20</f>
        <v>0</v>
      </c>
      <c r="H52">
        <f>H20*$B20</f>
        <v>0</v>
      </c>
      <c r="W52" t="s">
        <v>248</v>
      </c>
      <c r="AA52" t="s">
        <v>253</v>
      </c>
    </row>
    <row r="53" spans="3:27" x14ac:dyDescent="0.25">
      <c r="D53">
        <f t="shared" ref="D53:H68" si="4">D21*$B21</f>
        <v>0</v>
      </c>
      <c r="E53">
        <f t="shared" si="4"/>
        <v>0</v>
      </c>
      <c r="F53">
        <f t="shared" si="4"/>
        <v>0</v>
      </c>
      <c r="G53">
        <f t="shared" si="4"/>
        <v>0</v>
      </c>
      <c r="H53">
        <f t="shared" si="4"/>
        <v>0</v>
      </c>
      <c r="L53" t="s">
        <v>33</v>
      </c>
      <c r="M53">
        <f>F14</f>
        <v>360</v>
      </c>
      <c r="N53">
        <v>11</v>
      </c>
      <c r="O53">
        <f>(1-0.01*$R$44)*N53</f>
        <v>7.1499999999999986</v>
      </c>
      <c r="W53" t="s">
        <v>249</v>
      </c>
      <c r="AA53" t="s">
        <v>249</v>
      </c>
    </row>
    <row r="54" spans="3:27" x14ac:dyDescent="0.25">
      <c r="D54">
        <f t="shared" si="4"/>
        <v>0</v>
      </c>
      <c r="E54">
        <f t="shared" si="4"/>
        <v>0</v>
      </c>
      <c r="F54">
        <f t="shared" si="4"/>
        <v>0</v>
      </c>
      <c r="G54">
        <f t="shared" si="4"/>
        <v>0</v>
      </c>
      <c r="H54">
        <f t="shared" si="4"/>
        <v>0</v>
      </c>
      <c r="W54" t="s">
        <v>250</v>
      </c>
      <c r="AA54" t="s">
        <v>254</v>
      </c>
    </row>
    <row r="55" spans="3:27" x14ac:dyDescent="0.25">
      <c r="D55">
        <f t="shared" si="4"/>
        <v>0</v>
      </c>
      <c r="E55">
        <f t="shared" si="4"/>
        <v>0</v>
      </c>
      <c r="F55">
        <f t="shared" si="4"/>
        <v>0</v>
      </c>
      <c r="G55">
        <f t="shared" si="4"/>
        <v>0</v>
      </c>
      <c r="H55">
        <f t="shared" si="4"/>
        <v>0</v>
      </c>
    </row>
    <row r="56" spans="3:27" x14ac:dyDescent="0.25">
      <c r="D56">
        <f t="shared" si="4"/>
        <v>70</v>
      </c>
      <c r="E56">
        <f t="shared" si="4"/>
        <v>0</v>
      </c>
      <c r="F56">
        <f t="shared" si="4"/>
        <v>500</v>
      </c>
      <c r="G56">
        <f t="shared" si="4"/>
        <v>0</v>
      </c>
      <c r="H56">
        <f t="shared" si="4"/>
        <v>0</v>
      </c>
    </row>
    <row r="57" spans="3:27" x14ac:dyDescent="0.25">
      <c r="D57">
        <f t="shared" si="4"/>
        <v>0</v>
      </c>
      <c r="E57">
        <f t="shared" si="4"/>
        <v>0</v>
      </c>
      <c r="F57">
        <f t="shared" si="4"/>
        <v>0</v>
      </c>
      <c r="G57">
        <f t="shared" si="4"/>
        <v>0</v>
      </c>
      <c r="H57">
        <f t="shared" si="4"/>
        <v>0</v>
      </c>
    </row>
    <row r="58" spans="3:27" x14ac:dyDescent="0.25">
      <c r="D58">
        <f t="shared" si="4"/>
        <v>0</v>
      </c>
      <c r="E58">
        <f t="shared" si="4"/>
        <v>0</v>
      </c>
      <c r="F58">
        <f t="shared" si="4"/>
        <v>0</v>
      </c>
      <c r="G58">
        <f t="shared" si="4"/>
        <v>0</v>
      </c>
      <c r="H58">
        <f t="shared" si="4"/>
        <v>0</v>
      </c>
    </row>
    <row r="59" spans="3:27" x14ac:dyDescent="0.25">
      <c r="D59">
        <f t="shared" si="4"/>
        <v>0</v>
      </c>
      <c r="E59">
        <f t="shared" si="4"/>
        <v>0</v>
      </c>
      <c r="F59">
        <f t="shared" si="4"/>
        <v>0</v>
      </c>
      <c r="G59">
        <f t="shared" si="4"/>
        <v>0</v>
      </c>
      <c r="H59">
        <f t="shared" si="4"/>
        <v>0</v>
      </c>
    </row>
    <row r="60" spans="3:27" x14ac:dyDescent="0.25">
      <c r="D60">
        <f t="shared" si="4"/>
        <v>0</v>
      </c>
      <c r="E60">
        <f t="shared" si="4"/>
        <v>55</v>
      </c>
      <c r="F60">
        <f t="shared" si="4"/>
        <v>450</v>
      </c>
      <c r="G60">
        <f t="shared" si="4"/>
        <v>1</v>
      </c>
      <c r="H60">
        <f t="shared" si="4"/>
        <v>0</v>
      </c>
    </row>
    <row r="61" spans="3:27" x14ac:dyDescent="0.25">
      <c r="D61">
        <f t="shared" si="4"/>
        <v>0</v>
      </c>
      <c r="E61">
        <f t="shared" si="4"/>
        <v>55</v>
      </c>
      <c r="F61">
        <f t="shared" si="4"/>
        <v>400</v>
      </c>
      <c r="G61">
        <f t="shared" si="4"/>
        <v>1</v>
      </c>
      <c r="H61">
        <f t="shared" si="4"/>
        <v>0</v>
      </c>
    </row>
    <row r="62" spans="3:27" x14ac:dyDescent="0.25">
      <c r="D62">
        <f t="shared" si="4"/>
        <v>0</v>
      </c>
      <c r="E62">
        <f t="shared" si="4"/>
        <v>0</v>
      </c>
      <c r="F62">
        <f t="shared" si="4"/>
        <v>0</v>
      </c>
      <c r="G62">
        <f t="shared" si="4"/>
        <v>0</v>
      </c>
      <c r="H62">
        <f t="shared" si="4"/>
        <v>0</v>
      </c>
      <c r="M62" t="s">
        <v>287</v>
      </c>
      <c r="N62" t="s">
        <v>133</v>
      </c>
    </row>
    <row r="63" spans="3:27" x14ac:dyDescent="0.25">
      <c r="D63">
        <f t="shared" si="4"/>
        <v>0</v>
      </c>
      <c r="E63">
        <f t="shared" si="4"/>
        <v>0</v>
      </c>
      <c r="F63">
        <f t="shared" si="4"/>
        <v>0</v>
      </c>
      <c r="G63">
        <f t="shared" si="4"/>
        <v>0</v>
      </c>
      <c r="H63">
        <f t="shared" si="4"/>
        <v>0</v>
      </c>
      <c r="L63" t="s">
        <v>222</v>
      </c>
      <c r="M63">
        <f>M47</f>
        <v>250</v>
      </c>
      <c r="N63">
        <f>M63/O47</f>
        <v>64.102564102564116</v>
      </c>
    </row>
    <row r="64" spans="3:27" x14ac:dyDescent="0.25">
      <c r="D64">
        <f t="shared" si="4"/>
        <v>0</v>
      </c>
      <c r="E64">
        <f t="shared" si="4"/>
        <v>0</v>
      </c>
      <c r="F64">
        <f t="shared" si="4"/>
        <v>0</v>
      </c>
      <c r="G64">
        <f t="shared" si="4"/>
        <v>0</v>
      </c>
      <c r="H64">
        <f t="shared" si="4"/>
        <v>0</v>
      </c>
      <c r="L64" t="s">
        <v>223</v>
      </c>
      <c r="M64">
        <f>M51</f>
        <v>260</v>
      </c>
      <c r="N64">
        <f>M64/O50</f>
        <v>44.44444444444445</v>
      </c>
    </row>
    <row r="65" spans="4:18" x14ac:dyDescent="0.25">
      <c r="D65">
        <f t="shared" si="4"/>
        <v>0</v>
      </c>
      <c r="E65">
        <f t="shared" si="4"/>
        <v>0</v>
      </c>
      <c r="F65">
        <f t="shared" si="4"/>
        <v>0</v>
      </c>
      <c r="G65">
        <f t="shared" si="4"/>
        <v>0</v>
      </c>
      <c r="H65">
        <f t="shared" si="4"/>
        <v>0</v>
      </c>
      <c r="L65" t="s">
        <v>224</v>
      </c>
      <c r="M65">
        <f>M53</f>
        <v>360</v>
      </c>
      <c r="N65">
        <f>M65/O53</f>
        <v>50.349650349650361</v>
      </c>
    </row>
    <row r="66" spans="4:18" x14ac:dyDescent="0.25">
      <c r="D66">
        <f t="shared" si="4"/>
        <v>0</v>
      </c>
      <c r="E66">
        <f t="shared" si="4"/>
        <v>0</v>
      </c>
      <c r="F66">
        <f t="shared" si="4"/>
        <v>0</v>
      </c>
      <c r="G66">
        <f t="shared" si="4"/>
        <v>0</v>
      </c>
      <c r="H66">
        <f t="shared" si="4"/>
        <v>0</v>
      </c>
      <c r="L66" t="s">
        <v>233</v>
      </c>
      <c r="M66">
        <f>SUM(M63:M65)</f>
        <v>870</v>
      </c>
      <c r="N66">
        <f>SUM(N63:N65)</f>
        <v>158.89665889665895</v>
      </c>
    </row>
    <row r="67" spans="4:18" x14ac:dyDescent="0.25">
      <c r="D67">
        <f t="shared" si="4"/>
        <v>0</v>
      </c>
      <c r="E67">
        <f t="shared" si="4"/>
        <v>0</v>
      </c>
      <c r="F67">
        <f t="shared" si="4"/>
        <v>0</v>
      </c>
      <c r="G67">
        <f t="shared" si="4"/>
        <v>0</v>
      </c>
      <c r="H67">
        <f t="shared" si="4"/>
        <v>0</v>
      </c>
      <c r="L67" t="s">
        <v>239</v>
      </c>
      <c r="N67">
        <f>B37*(24+1.5*C4)+B27*(25+C4)</f>
        <v>0</v>
      </c>
    </row>
    <row r="68" spans="4:18" x14ac:dyDescent="0.25">
      <c r="D68">
        <f t="shared" si="4"/>
        <v>0</v>
      </c>
      <c r="E68">
        <f t="shared" si="4"/>
        <v>0</v>
      </c>
      <c r="F68">
        <f t="shared" si="4"/>
        <v>0</v>
      </c>
      <c r="G68">
        <f t="shared" si="4"/>
        <v>0</v>
      </c>
      <c r="H68">
        <f t="shared" si="4"/>
        <v>0</v>
      </c>
      <c r="L68" t="s">
        <v>232</v>
      </c>
      <c r="N68">
        <f>K97</f>
        <v>154.50224621000001</v>
      </c>
    </row>
    <row r="69" spans="4:18" x14ac:dyDescent="0.25">
      <c r="D69">
        <f t="shared" ref="D69:H80" si="5">D37*$B37</f>
        <v>0</v>
      </c>
      <c r="E69">
        <f t="shared" si="5"/>
        <v>0</v>
      </c>
      <c r="F69">
        <f t="shared" si="5"/>
        <v>0</v>
      </c>
      <c r="G69">
        <f t="shared" si="5"/>
        <v>0</v>
      </c>
      <c r="H69">
        <f t="shared" si="5"/>
        <v>0</v>
      </c>
      <c r="L69" t="s">
        <v>234</v>
      </c>
      <c r="N69" s="2">
        <f>N68+N66+N67</f>
        <v>313.39890510665896</v>
      </c>
    </row>
    <row r="70" spans="4:18" x14ac:dyDescent="0.25">
      <c r="D70">
        <f t="shared" si="5"/>
        <v>0</v>
      </c>
      <c r="E70">
        <f t="shared" si="5"/>
        <v>0</v>
      </c>
      <c r="F70">
        <f t="shared" si="5"/>
        <v>0</v>
      </c>
      <c r="G70">
        <f t="shared" si="5"/>
        <v>0</v>
      </c>
      <c r="H70">
        <f t="shared" si="5"/>
        <v>0</v>
      </c>
      <c r="R70" s="2"/>
    </row>
    <row r="71" spans="4:18" x14ac:dyDescent="0.25">
      <c r="D71">
        <f t="shared" si="5"/>
        <v>100</v>
      </c>
      <c r="E71">
        <f t="shared" si="5"/>
        <v>0</v>
      </c>
      <c r="F71">
        <f t="shared" si="5"/>
        <v>0</v>
      </c>
      <c r="G71">
        <f t="shared" si="5"/>
        <v>0</v>
      </c>
      <c r="H71">
        <f t="shared" si="5"/>
        <v>0</v>
      </c>
    </row>
    <row r="72" spans="4:18" x14ac:dyDescent="0.25">
      <c r="D72">
        <f t="shared" si="5"/>
        <v>100</v>
      </c>
      <c r="E72">
        <f t="shared" si="5"/>
        <v>0</v>
      </c>
      <c r="F72">
        <f t="shared" si="5"/>
        <v>0</v>
      </c>
      <c r="G72">
        <f t="shared" si="5"/>
        <v>0</v>
      </c>
      <c r="H72">
        <f t="shared" si="5"/>
        <v>0</v>
      </c>
    </row>
    <row r="73" spans="4:18" x14ac:dyDescent="0.25">
      <c r="D73">
        <f t="shared" si="5"/>
        <v>0</v>
      </c>
      <c r="E73">
        <f t="shared" si="5"/>
        <v>0</v>
      </c>
      <c r="F73">
        <f t="shared" si="5"/>
        <v>0</v>
      </c>
      <c r="G73">
        <f t="shared" si="5"/>
        <v>0</v>
      </c>
      <c r="H73">
        <f t="shared" si="5"/>
        <v>0</v>
      </c>
    </row>
    <row r="74" spans="4:18" x14ac:dyDescent="0.25">
      <c r="D74">
        <f t="shared" si="5"/>
        <v>0</v>
      </c>
      <c r="E74">
        <f t="shared" si="5"/>
        <v>0</v>
      </c>
      <c r="F74">
        <f t="shared" si="5"/>
        <v>0</v>
      </c>
      <c r="G74">
        <f t="shared" si="5"/>
        <v>0</v>
      </c>
      <c r="H74">
        <f t="shared" si="5"/>
        <v>0</v>
      </c>
    </row>
    <row r="75" spans="4:18" x14ac:dyDescent="0.25">
      <c r="D75">
        <f t="shared" si="5"/>
        <v>0</v>
      </c>
      <c r="E75">
        <f t="shared" si="5"/>
        <v>0</v>
      </c>
      <c r="F75">
        <f t="shared" si="5"/>
        <v>0</v>
      </c>
      <c r="G75">
        <f t="shared" si="5"/>
        <v>0</v>
      </c>
      <c r="H75">
        <f t="shared" si="5"/>
        <v>0</v>
      </c>
    </row>
    <row r="76" spans="4:18" x14ac:dyDescent="0.25">
      <c r="D76">
        <f t="shared" si="5"/>
        <v>0</v>
      </c>
      <c r="E76">
        <f t="shared" si="5"/>
        <v>0</v>
      </c>
      <c r="F76">
        <f t="shared" si="5"/>
        <v>0</v>
      </c>
      <c r="G76">
        <f t="shared" si="5"/>
        <v>0</v>
      </c>
      <c r="H76">
        <f t="shared" si="5"/>
        <v>0</v>
      </c>
    </row>
    <row r="77" spans="4:18" x14ac:dyDescent="0.25">
      <c r="D77">
        <f t="shared" si="5"/>
        <v>0</v>
      </c>
      <c r="E77">
        <f t="shared" si="5"/>
        <v>0</v>
      </c>
      <c r="F77">
        <f t="shared" si="5"/>
        <v>0</v>
      </c>
      <c r="G77">
        <f t="shared" si="5"/>
        <v>0</v>
      </c>
      <c r="H77">
        <f t="shared" si="5"/>
        <v>0</v>
      </c>
    </row>
    <row r="78" spans="4:18" x14ac:dyDescent="0.25">
      <c r="D78">
        <f t="shared" si="5"/>
        <v>0</v>
      </c>
      <c r="E78">
        <f t="shared" si="5"/>
        <v>18</v>
      </c>
      <c r="F78">
        <f t="shared" si="5"/>
        <v>0</v>
      </c>
      <c r="G78">
        <f t="shared" si="5"/>
        <v>0</v>
      </c>
      <c r="H78">
        <f t="shared" si="5"/>
        <v>0</v>
      </c>
    </row>
    <row r="79" spans="4:18" x14ac:dyDescent="0.25">
      <c r="D79">
        <f t="shared" si="5"/>
        <v>0</v>
      </c>
      <c r="E79">
        <f t="shared" si="5"/>
        <v>0</v>
      </c>
      <c r="F79">
        <f t="shared" si="5"/>
        <v>0</v>
      </c>
      <c r="G79">
        <f t="shared" si="5"/>
        <v>0</v>
      </c>
      <c r="H79">
        <f t="shared" si="5"/>
        <v>0</v>
      </c>
    </row>
    <row r="80" spans="4:18" x14ac:dyDescent="0.25">
      <c r="D80">
        <f t="shared" si="5"/>
        <v>0</v>
      </c>
      <c r="E80">
        <f t="shared" si="5"/>
        <v>25</v>
      </c>
      <c r="F80">
        <f t="shared" si="5"/>
        <v>0</v>
      </c>
      <c r="G80">
        <f t="shared" si="5"/>
        <v>0</v>
      </c>
      <c r="H80">
        <f t="shared" si="5"/>
        <v>0</v>
      </c>
    </row>
    <row r="81" spans="2:22" x14ac:dyDescent="0.25">
      <c r="C81" s="2" t="s">
        <v>73</v>
      </c>
      <c r="D81">
        <f>SUM(D52:D80)</f>
        <v>270</v>
      </c>
      <c r="E81">
        <f>SUM(E52:E80)</f>
        <v>153</v>
      </c>
      <c r="F81">
        <f>SUM(F52:F80)</f>
        <v>1350</v>
      </c>
      <c r="G81">
        <f>SUM(G52:G80)</f>
        <v>2</v>
      </c>
      <c r="H81">
        <f>SUM(H52:H80)</f>
        <v>0</v>
      </c>
      <c r="R81" t="s">
        <v>255</v>
      </c>
      <c r="T81" t="s">
        <v>256</v>
      </c>
      <c r="U81" t="s">
        <v>258</v>
      </c>
      <c r="V81" t="s">
        <v>259</v>
      </c>
    </row>
    <row r="82" spans="2:22" x14ac:dyDescent="0.25">
      <c r="R82">
        <f>S20</f>
        <v>394.92</v>
      </c>
      <c r="S82">
        <f>100/(100+S20)</f>
        <v>0.20205285702739836</v>
      </c>
    </row>
    <row r="83" spans="2:22" x14ac:dyDescent="0.25">
      <c r="Q83" t="s">
        <v>257</v>
      </c>
      <c r="S83">
        <f>S82*0.9</f>
        <v>0.18184757132465854</v>
      </c>
      <c r="T83">
        <f>100/S83-100</f>
        <v>449.91111111111104</v>
      </c>
      <c r="U83">
        <f>T83-R82</f>
        <v>54.991111111111024</v>
      </c>
    </row>
    <row r="84" spans="2:22" x14ac:dyDescent="0.25">
      <c r="L84" s="2" t="s">
        <v>41</v>
      </c>
      <c r="Q84" t="s">
        <v>259</v>
      </c>
      <c r="S84">
        <f>S83*0.85</f>
        <v>0.15457043562595976</v>
      </c>
      <c r="T84">
        <f>100/S84-100</f>
        <v>546.95424836601308</v>
      </c>
      <c r="V84">
        <f>T84-T83</f>
        <v>97.043137254902035</v>
      </c>
    </row>
    <row r="85" spans="2:22" x14ac:dyDescent="0.25">
      <c r="B85" s="2" t="s">
        <v>35</v>
      </c>
      <c r="C85" s="2" t="s">
        <v>36</v>
      </c>
      <c r="D85" s="2" t="s">
        <v>37</v>
      </c>
      <c r="E85" s="2" t="s">
        <v>38</v>
      </c>
      <c r="F85" s="2" t="s">
        <v>39</v>
      </c>
      <c r="I85" s="2" t="s">
        <v>40</v>
      </c>
      <c r="J85" s="2" t="s">
        <v>37</v>
      </c>
      <c r="K85" s="2" t="s">
        <v>38</v>
      </c>
      <c r="L85">
        <f>F136</f>
        <v>0</v>
      </c>
    </row>
    <row r="86" spans="2:22" x14ac:dyDescent="0.25">
      <c r="C86" t="s">
        <v>43</v>
      </c>
      <c r="D86">
        <v>80</v>
      </c>
      <c r="E86">
        <v>0</v>
      </c>
      <c r="F86">
        <v>0.25</v>
      </c>
      <c r="J86">
        <f>D136</f>
        <v>0</v>
      </c>
      <c r="K86">
        <f>E136</f>
        <v>0</v>
      </c>
    </row>
    <row r="87" spans="2:22" x14ac:dyDescent="0.25">
      <c r="C87" t="s">
        <v>44</v>
      </c>
      <c r="D87">
        <v>0</v>
      </c>
      <c r="E87">
        <v>0.5</v>
      </c>
      <c r="F87">
        <v>0.3</v>
      </c>
    </row>
    <row r="88" spans="2:22" x14ac:dyDescent="0.25">
      <c r="C88" t="s">
        <v>45</v>
      </c>
      <c r="E88">
        <v>0.4</v>
      </c>
      <c r="F88">
        <v>0.2</v>
      </c>
      <c r="I88" t="s">
        <v>12</v>
      </c>
      <c r="K88">
        <f>AA10</f>
        <v>1.1390275000000001</v>
      </c>
    </row>
    <row r="89" spans="2:22" x14ac:dyDescent="0.25">
      <c r="C89" t="s">
        <v>46</v>
      </c>
      <c r="D89">
        <v>40</v>
      </c>
      <c r="E89">
        <v>0</v>
      </c>
      <c r="F89">
        <v>0</v>
      </c>
    </row>
    <row r="90" spans="2:22" x14ac:dyDescent="0.25">
      <c r="C90" t="s">
        <v>47</v>
      </c>
      <c r="D90">
        <v>80</v>
      </c>
      <c r="E90">
        <v>0</v>
      </c>
      <c r="F90">
        <v>0</v>
      </c>
      <c r="I90" t="s">
        <v>48</v>
      </c>
      <c r="K90">
        <v>2.5</v>
      </c>
    </row>
    <row r="91" spans="2:22" x14ac:dyDescent="0.25">
      <c r="C91" t="s">
        <v>49</v>
      </c>
      <c r="D91">
        <v>80</v>
      </c>
    </row>
    <row r="92" spans="2:22" x14ac:dyDescent="0.25">
      <c r="C92" t="s">
        <v>50</v>
      </c>
      <c r="D92">
        <v>7</v>
      </c>
      <c r="I92" t="s">
        <v>51</v>
      </c>
      <c r="K92">
        <f>S10</f>
        <v>135.64400000000001</v>
      </c>
    </row>
    <row r="93" spans="2:22" x14ac:dyDescent="0.25">
      <c r="C93" t="s">
        <v>52</v>
      </c>
      <c r="D93">
        <v>25</v>
      </c>
      <c r="E93">
        <v>0.5</v>
      </c>
      <c r="I93" t="s">
        <v>53</v>
      </c>
      <c r="K93">
        <f>K92*(1+1.5*L85)</f>
        <v>135.64400000000001</v>
      </c>
    </row>
    <row r="94" spans="2:22" x14ac:dyDescent="0.25">
      <c r="C94" t="s">
        <v>54</v>
      </c>
      <c r="D94">
        <v>40</v>
      </c>
      <c r="E94">
        <v>0.4</v>
      </c>
      <c r="F94">
        <v>0</v>
      </c>
      <c r="I94" t="s">
        <v>55</v>
      </c>
      <c r="K94">
        <f>K92*IF(B86,2.5,2)</f>
        <v>271.28800000000001</v>
      </c>
    </row>
    <row r="95" spans="2:22" x14ac:dyDescent="0.25">
      <c r="C95" t="s">
        <v>56</v>
      </c>
      <c r="D95">
        <v>30</v>
      </c>
      <c r="E95">
        <v>0</v>
      </c>
      <c r="F95">
        <v>0.15</v>
      </c>
    </row>
    <row r="96" spans="2:22" x14ac:dyDescent="0.25">
      <c r="C96" t="s">
        <v>57</v>
      </c>
      <c r="E96">
        <v>0.2</v>
      </c>
      <c r="I96" t="s">
        <v>58</v>
      </c>
      <c r="K96">
        <f>S10*K88</f>
        <v>154.50224621000001</v>
      </c>
    </row>
    <row r="97" spans="3:11" x14ac:dyDescent="0.25">
      <c r="C97" t="s">
        <v>59</v>
      </c>
      <c r="D97">
        <v>30</v>
      </c>
      <c r="E97">
        <v>0.3</v>
      </c>
      <c r="F97">
        <v>0.1</v>
      </c>
      <c r="I97" t="s">
        <v>60</v>
      </c>
      <c r="K97">
        <f>K96*(1+1.5*L85)</f>
        <v>154.50224621000001</v>
      </c>
    </row>
    <row r="98" spans="3:11" x14ac:dyDescent="0.25">
      <c r="C98" t="s">
        <v>61</v>
      </c>
      <c r="D98">
        <v>20</v>
      </c>
    </row>
    <row r="99" spans="3:11" x14ac:dyDescent="0.25">
      <c r="C99" t="s">
        <v>62</v>
      </c>
      <c r="D99">
        <v>60</v>
      </c>
    </row>
    <row r="100" spans="3:11" x14ac:dyDescent="0.25">
      <c r="C100" t="s">
        <v>63</v>
      </c>
      <c r="D100">
        <v>25</v>
      </c>
    </row>
    <row r="101" spans="3:11" x14ac:dyDescent="0.25">
      <c r="C101" t="s">
        <v>64</v>
      </c>
      <c r="D101">
        <v>50</v>
      </c>
    </row>
    <row r="102" spans="3:11" x14ac:dyDescent="0.25">
      <c r="C102" t="s">
        <v>65</v>
      </c>
      <c r="D102">
        <v>25</v>
      </c>
    </row>
    <row r="103" spans="3:11" x14ac:dyDescent="0.25">
      <c r="C103" t="s">
        <v>66</v>
      </c>
      <c r="D103">
        <v>25</v>
      </c>
    </row>
    <row r="104" spans="3:11" x14ac:dyDescent="0.25">
      <c r="C104" t="s">
        <v>67</v>
      </c>
      <c r="D104">
        <v>40</v>
      </c>
    </row>
    <row r="105" spans="3:11" x14ac:dyDescent="0.25">
      <c r="C105" t="s">
        <v>68</v>
      </c>
      <c r="D105">
        <v>75</v>
      </c>
    </row>
    <row r="106" spans="3:11" x14ac:dyDescent="0.25">
      <c r="C106" t="s">
        <v>69</v>
      </c>
      <c r="D106">
        <v>10</v>
      </c>
    </row>
    <row r="107" spans="3:11" x14ac:dyDescent="0.25">
      <c r="C107" t="s">
        <v>70</v>
      </c>
      <c r="D107">
        <v>25</v>
      </c>
    </row>
    <row r="108" spans="3:11" x14ac:dyDescent="0.25">
      <c r="C108" t="s">
        <v>71</v>
      </c>
      <c r="D108">
        <v>50</v>
      </c>
    </row>
    <row r="112" spans="3:11" x14ac:dyDescent="0.25">
      <c r="C112" s="2" t="s">
        <v>72</v>
      </c>
    </row>
    <row r="113" spans="4:6" x14ac:dyDescent="0.25">
      <c r="D113">
        <f t="shared" ref="D113:D135" si="6">D86*B86</f>
        <v>0</v>
      </c>
      <c r="E113">
        <f t="shared" ref="E113:E135" si="7">E86*B86</f>
        <v>0</v>
      </c>
      <c r="F113">
        <f t="shared" ref="F113:F135" si="8">F86*B86</f>
        <v>0</v>
      </c>
    </row>
    <row r="114" spans="4:6" x14ac:dyDescent="0.25">
      <c r="D114">
        <f t="shared" si="6"/>
        <v>0</v>
      </c>
      <c r="E114">
        <f t="shared" si="7"/>
        <v>0</v>
      </c>
      <c r="F114">
        <f t="shared" si="8"/>
        <v>0</v>
      </c>
    </row>
    <row r="115" spans="4:6" x14ac:dyDescent="0.25">
      <c r="D115">
        <f t="shared" si="6"/>
        <v>0</v>
      </c>
      <c r="E115">
        <f t="shared" si="7"/>
        <v>0</v>
      </c>
      <c r="F115">
        <f t="shared" si="8"/>
        <v>0</v>
      </c>
    </row>
    <row r="116" spans="4:6" x14ac:dyDescent="0.25">
      <c r="D116">
        <f t="shared" si="6"/>
        <v>0</v>
      </c>
      <c r="E116">
        <f t="shared" si="7"/>
        <v>0</v>
      </c>
      <c r="F116">
        <f t="shared" si="8"/>
        <v>0</v>
      </c>
    </row>
    <row r="117" spans="4:6" x14ac:dyDescent="0.25">
      <c r="D117">
        <f t="shared" si="6"/>
        <v>0</v>
      </c>
      <c r="E117">
        <f t="shared" si="7"/>
        <v>0</v>
      </c>
      <c r="F117">
        <f t="shared" si="8"/>
        <v>0</v>
      </c>
    </row>
    <row r="118" spans="4:6" x14ac:dyDescent="0.25">
      <c r="D118">
        <f t="shared" si="6"/>
        <v>0</v>
      </c>
      <c r="E118">
        <f t="shared" si="7"/>
        <v>0</v>
      </c>
      <c r="F118">
        <f t="shared" si="8"/>
        <v>0</v>
      </c>
    </row>
    <row r="119" spans="4:6" x14ac:dyDescent="0.25">
      <c r="D119">
        <f t="shared" si="6"/>
        <v>0</v>
      </c>
      <c r="E119">
        <f t="shared" si="7"/>
        <v>0</v>
      </c>
      <c r="F119">
        <f t="shared" si="8"/>
        <v>0</v>
      </c>
    </row>
    <row r="120" spans="4:6" x14ac:dyDescent="0.25">
      <c r="D120">
        <f t="shared" si="6"/>
        <v>0</v>
      </c>
      <c r="E120">
        <f t="shared" si="7"/>
        <v>0</v>
      </c>
      <c r="F120">
        <f t="shared" si="8"/>
        <v>0</v>
      </c>
    </row>
    <row r="121" spans="4:6" x14ac:dyDescent="0.25">
      <c r="D121">
        <f t="shared" si="6"/>
        <v>0</v>
      </c>
      <c r="E121">
        <f t="shared" si="7"/>
        <v>0</v>
      </c>
      <c r="F121">
        <f t="shared" si="8"/>
        <v>0</v>
      </c>
    </row>
    <row r="122" spans="4:6" x14ac:dyDescent="0.25">
      <c r="D122">
        <f t="shared" si="6"/>
        <v>0</v>
      </c>
      <c r="E122">
        <f t="shared" si="7"/>
        <v>0</v>
      </c>
      <c r="F122">
        <f t="shared" si="8"/>
        <v>0</v>
      </c>
    </row>
    <row r="123" spans="4:6" x14ac:dyDescent="0.25">
      <c r="D123">
        <f t="shared" si="6"/>
        <v>0</v>
      </c>
      <c r="E123">
        <f t="shared" si="7"/>
        <v>0</v>
      </c>
      <c r="F123">
        <f t="shared" si="8"/>
        <v>0</v>
      </c>
    </row>
    <row r="124" spans="4:6" x14ac:dyDescent="0.25">
      <c r="D124">
        <f t="shared" si="6"/>
        <v>0</v>
      </c>
      <c r="E124">
        <f t="shared" si="7"/>
        <v>0</v>
      </c>
      <c r="F124">
        <f t="shared" si="8"/>
        <v>0</v>
      </c>
    </row>
    <row r="125" spans="4:6" x14ac:dyDescent="0.25">
      <c r="D125">
        <f t="shared" si="6"/>
        <v>0</v>
      </c>
      <c r="E125">
        <f t="shared" si="7"/>
        <v>0</v>
      </c>
      <c r="F125">
        <f t="shared" si="8"/>
        <v>0</v>
      </c>
    </row>
    <row r="126" spans="4:6" x14ac:dyDescent="0.25">
      <c r="D126">
        <f t="shared" si="6"/>
        <v>0</v>
      </c>
      <c r="E126">
        <f t="shared" si="7"/>
        <v>0</v>
      </c>
      <c r="F126">
        <f t="shared" si="8"/>
        <v>0</v>
      </c>
    </row>
    <row r="127" spans="4:6" x14ac:dyDescent="0.25">
      <c r="D127">
        <f t="shared" si="6"/>
        <v>0</v>
      </c>
      <c r="E127">
        <f t="shared" si="7"/>
        <v>0</v>
      </c>
      <c r="F127">
        <f t="shared" si="8"/>
        <v>0</v>
      </c>
    </row>
    <row r="128" spans="4:6" x14ac:dyDescent="0.25">
      <c r="D128">
        <f t="shared" si="6"/>
        <v>0</v>
      </c>
      <c r="E128">
        <f t="shared" si="7"/>
        <v>0</v>
      </c>
      <c r="F128">
        <f t="shared" si="8"/>
        <v>0</v>
      </c>
    </row>
    <row r="129" spans="3:6" x14ac:dyDescent="0.25">
      <c r="D129">
        <f t="shared" si="6"/>
        <v>0</v>
      </c>
      <c r="E129">
        <f t="shared" si="7"/>
        <v>0</v>
      </c>
      <c r="F129">
        <f t="shared" si="8"/>
        <v>0</v>
      </c>
    </row>
    <row r="130" spans="3:6" x14ac:dyDescent="0.25">
      <c r="D130">
        <f t="shared" si="6"/>
        <v>0</v>
      </c>
      <c r="E130">
        <f t="shared" si="7"/>
        <v>0</v>
      </c>
      <c r="F130">
        <f t="shared" si="8"/>
        <v>0</v>
      </c>
    </row>
    <row r="131" spans="3:6" x14ac:dyDescent="0.25">
      <c r="D131">
        <f t="shared" si="6"/>
        <v>0</v>
      </c>
      <c r="E131">
        <f t="shared" si="7"/>
        <v>0</v>
      </c>
      <c r="F131">
        <f t="shared" si="8"/>
        <v>0</v>
      </c>
    </row>
    <row r="132" spans="3:6" x14ac:dyDescent="0.25">
      <c r="D132">
        <f t="shared" si="6"/>
        <v>0</v>
      </c>
      <c r="E132">
        <f t="shared" si="7"/>
        <v>0</v>
      </c>
      <c r="F132">
        <f t="shared" si="8"/>
        <v>0</v>
      </c>
    </row>
    <row r="133" spans="3:6" x14ac:dyDescent="0.25">
      <c r="D133">
        <f t="shared" si="6"/>
        <v>0</v>
      </c>
      <c r="E133">
        <f t="shared" si="7"/>
        <v>0</v>
      </c>
      <c r="F133">
        <f t="shared" si="8"/>
        <v>0</v>
      </c>
    </row>
    <row r="134" spans="3:6" x14ac:dyDescent="0.25">
      <c r="D134">
        <f t="shared" si="6"/>
        <v>0</v>
      </c>
      <c r="E134">
        <f t="shared" si="7"/>
        <v>0</v>
      </c>
      <c r="F134">
        <f t="shared" si="8"/>
        <v>0</v>
      </c>
    </row>
    <row r="135" spans="3:6" x14ac:dyDescent="0.25">
      <c r="D135">
        <f t="shared" si="6"/>
        <v>0</v>
      </c>
      <c r="E135">
        <f t="shared" si="7"/>
        <v>0</v>
      </c>
      <c r="F135">
        <f t="shared" si="8"/>
        <v>0</v>
      </c>
    </row>
    <row r="136" spans="3:6" x14ac:dyDescent="0.25">
      <c r="C136" s="2" t="s">
        <v>73</v>
      </c>
      <c r="D136">
        <f>SUM(D113:D135)</f>
        <v>0</v>
      </c>
      <c r="E136">
        <f>SUM(E113:E135)</f>
        <v>0</v>
      </c>
      <c r="F136">
        <f>SUM(F113:F135)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AL136"/>
  <sheetViews>
    <sheetView topLeftCell="A10" zoomScaleNormal="100" workbookViewId="0">
      <selection activeCell="N53" sqref="N53"/>
    </sheetView>
  </sheetViews>
  <sheetFormatPr defaultRowHeight="15" x14ac:dyDescent="0.25"/>
  <cols>
    <col min="3" max="3" width="19.5703125" customWidth="1"/>
  </cols>
  <sheetData>
    <row r="3" spans="2:27" x14ac:dyDescent="0.25">
      <c r="B3" t="s">
        <v>315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Q3" t="s">
        <v>236</v>
      </c>
      <c r="R3" t="s">
        <v>4</v>
      </c>
      <c r="U3" t="s">
        <v>5</v>
      </c>
      <c r="X3" t="s">
        <v>134</v>
      </c>
      <c r="Z3" t="s">
        <v>157</v>
      </c>
    </row>
    <row r="4" spans="2:27" x14ac:dyDescent="0.25">
      <c r="B4" t="s">
        <v>6</v>
      </c>
      <c r="C4">
        <v>9</v>
      </c>
      <c r="E4" t="s">
        <v>124</v>
      </c>
      <c r="F4">
        <v>6.7399999999999993</v>
      </c>
      <c r="H4" t="s">
        <v>7</v>
      </c>
      <c r="I4">
        <v>583.20000000000005</v>
      </c>
      <c r="J4">
        <v>89</v>
      </c>
      <c r="L4" t="s">
        <v>7</v>
      </c>
      <c r="M4">
        <f>I4+J4*$F$4</f>
        <v>1183.06</v>
      </c>
      <c r="O4" t="s">
        <v>9</v>
      </c>
      <c r="P4">
        <f>J86+M8</f>
        <v>84.97</v>
      </c>
      <c r="Q4">
        <v>1</v>
      </c>
      <c r="R4" t="s">
        <v>10</v>
      </c>
      <c r="S4">
        <f>Q4*(4+10/18*C4)</f>
        <v>9</v>
      </c>
      <c r="U4" t="s">
        <v>10</v>
      </c>
      <c r="V4">
        <v>0</v>
      </c>
      <c r="X4">
        <v>600</v>
      </c>
      <c r="Z4" t="s">
        <v>19</v>
      </c>
      <c r="AA4">
        <f>I9</f>
        <v>0.65100000000000002</v>
      </c>
    </row>
    <row r="5" spans="2:27" x14ac:dyDescent="0.25">
      <c r="H5" t="s">
        <v>120</v>
      </c>
      <c r="I5">
        <v>8.6750000000000007</v>
      </c>
      <c r="J5">
        <v>0.85</v>
      </c>
      <c r="L5" t="s">
        <v>120</v>
      </c>
      <c r="M5">
        <f>I5+J5*$F$4</f>
        <v>14.404</v>
      </c>
      <c r="O5" t="s">
        <v>12</v>
      </c>
      <c r="P5">
        <f>M9+I9*K86</f>
        <v>0.74094866999999998</v>
      </c>
      <c r="R5" t="s">
        <v>13</v>
      </c>
      <c r="S5">
        <v>0</v>
      </c>
      <c r="U5" t="s">
        <v>13</v>
      </c>
      <c r="V5">
        <v>0</v>
      </c>
      <c r="Z5" t="s">
        <v>168</v>
      </c>
      <c r="AA5">
        <f>F4*J9</f>
        <v>0.13816999999999999</v>
      </c>
    </row>
    <row r="6" spans="2:27" x14ac:dyDescent="0.25">
      <c r="H6" t="s">
        <v>121</v>
      </c>
      <c r="I6">
        <v>400</v>
      </c>
      <c r="J6">
        <v>47</v>
      </c>
      <c r="L6" t="s">
        <v>121</v>
      </c>
      <c r="M6">
        <f>I6+J6*$F$4</f>
        <v>716.78</v>
      </c>
      <c r="R6" t="s">
        <v>16</v>
      </c>
      <c r="S6">
        <f>J86</f>
        <v>0</v>
      </c>
      <c r="U6" t="s">
        <v>16</v>
      </c>
      <c r="V6">
        <v>0</v>
      </c>
      <c r="Z6" t="s">
        <v>10</v>
      </c>
      <c r="AA6">
        <v>0</v>
      </c>
    </row>
    <row r="7" spans="2:27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I7">
        <v>7.2050000000000001</v>
      </c>
      <c r="J7">
        <v>0.45</v>
      </c>
      <c r="L7" t="s">
        <v>122</v>
      </c>
      <c r="M7">
        <f>I7+J7*$F$4</f>
        <v>10.238</v>
      </c>
      <c r="O7" t="s">
        <v>7</v>
      </c>
      <c r="P7">
        <f>M4+L20</f>
        <v>1558.06</v>
      </c>
      <c r="R7" s="2"/>
      <c r="Z7" t="s">
        <v>158</v>
      </c>
      <c r="AA7">
        <v>0.28000000000000003</v>
      </c>
    </row>
    <row r="8" spans="2:27" x14ac:dyDescent="0.25">
      <c r="B8" t="s">
        <v>25</v>
      </c>
      <c r="C8">
        <v>2</v>
      </c>
      <c r="D8">
        <f>40+40*C8</f>
        <v>120</v>
      </c>
      <c r="E8">
        <f>0.6*V10</f>
        <v>0</v>
      </c>
      <c r="F8">
        <f>E8+D8</f>
        <v>120</v>
      </c>
      <c r="H8" t="s">
        <v>8</v>
      </c>
      <c r="I8">
        <v>61.38</v>
      </c>
      <c r="J8">
        <v>3.5</v>
      </c>
      <c r="L8" t="s">
        <v>8</v>
      </c>
      <c r="M8">
        <f>I8+J8*$F$4</f>
        <v>84.97</v>
      </c>
      <c r="O8" t="s">
        <v>120</v>
      </c>
      <c r="P8">
        <f>(M5+M5*M20+N20+V16*0.01)*(1+0.2*B29)</f>
        <v>30.812017999999998</v>
      </c>
      <c r="R8" t="s">
        <v>26</v>
      </c>
      <c r="S8">
        <f>SUM(S4:S7)</f>
        <v>9</v>
      </c>
      <c r="U8" t="s">
        <v>26</v>
      </c>
      <c r="V8">
        <f>SUM(V4:V7)</f>
        <v>0</v>
      </c>
      <c r="Z8" t="s">
        <v>159</v>
      </c>
      <c r="AA8">
        <f>K86</f>
        <v>0</v>
      </c>
    </row>
    <row r="9" spans="2:27" x14ac:dyDescent="0.25">
      <c r="D9">
        <f>80+60*C8</f>
        <v>200</v>
      </c>
      <c r="E9">
        <f>0.9*V10</f>
        <v>0</v>
      </c>
      <c r="F9">
        <f>E9+D9</f>
        <v>200</v>
      </c>
      <c r="H9" t="s">
        <v>14</v>
      </c>
      <c r="I9">
        <v>0.65100000000000002</v>
      </c>
      <c r="J9">
        <v>2.0500000000000001E-2</v>
      </c>
      <c r="L9" t="s">
        <v>14</v>
      </c>
      <c r="M9">
        <f>I9+I9*J9*$F$4</f>
        <v>0.74094866999999998</v>
      </c>
      <c r="O9" t="s">
        <v>15</v>
      </c>
      <c r="P9">
        <f>M10+J20</f>
        <v>50.311999999999998</v>
      </c>
    </row>
    <row r="10" spans="2:27" x14ac:dyDescent="0.25">
      <c r="H10" t="s">
        <v>15</v>
      </c>
      <c r="I10">
        <v>26.047999999999998</v>
      </c>
      <c r="J10">
        <v>3.6</v>
      </c>
      <c r="L10" t="s">
        <v>15</v>
      </c>
      <c r="M10">
        <f>I10+J10*$F$4</f>
        <v>50.311999999999998</v>
      </c>
      <c r="O10" t="s">
        <v>23</v>
      </c>
      <c r="P10">
        <f>M11+K20</f>
        <v>40.524999999999999</v>
      </c>
      <c r="R10" t="s">
        <v>31</v>
      </c>
      <c r="S10">
        <f>S8+P4</f>
        <v>93.97</v>
      </c>
      <c r="U10" t="s">
        <v>32</v>
      </c>
      <c r="V10">
        <v>0</v>
      </c>
      <c r="Z10" t="s">
        <v>160</v>
      </c>
      <c r="AA10">
        <f>(1+SUM(AA5:AA8))*AA4</f>
        <v>0.92322866999999997</v>
      </c>
    </row>
    <row r="11" spans="2:27" x14ac:dyDescent="0.25">
      <c r="B11" t="s">
        <v>29</v>
      </c>
      <c r="C11">
        <v>5</v>
      </c>
      <c r="D11">
        <f>-10+30*C11</f>
        <v>140</v>
      </c>
      <c r="E11">
        <f>0.3*V10+E12*(0.07+0.01*C11)</f>
        <v>192.00000000000003</v>
      </c>
      <c r="F11">
        <f>E11+D11</f>
        <v>332</v>
      </c>
      <c r="H11" t="s">
        <v>23</v>
      </c>
      <c r="I11">
        <v>32.1</v>
      </c>
      <c r="J11">
        <v>1.25</v>
      </c>
      <c r="L11" t="s">
        <v>23</v>
      </c>
      <c r="M11">
        <f>I11+J11*$F$4</f>
        <v>40.524999999999999</v>
      </c>
    </row>
    <row r="12" spans="2:27" x14ac:dyDescent="0.25">
      <c r="D12" t="s">
        <v>128</v>
      </c>
      <c r="E12">
        <v>1600</v>
      </c>
      <c r="H12" t="s">
        <v>123</v>
      </c>
      <c r="I12">
        <v>330</v>
      </c>
      <c r="L12" t="s">
        <v>123</v>
      </c>
      <c r="M12">
        <f>I12+J12*$F$4</f>
        <v>330</v>
      </c>
      <c r="O12" t="s">
        <v>91</v>
      </c>
      <c r="R12" t="s">
        <v>86</v>
      </c>
      <c r="U12" t="s">
        <v>88</v>
      </c>
      <c r="X12" t="s">
        <v>95</v>
      </c>
    </row>
    <row r="13" spans="2:27" x14ac:dyDescent="0.25">
      <c r="O13" t="s">
        <v>92</v>
      </c>
      <c r="P13">
        <v>2</v>
      </c>
      <c r="R13" t="s">
        <v>2</v>
      </c>
      <c r="S13">
        <f>M10</f>
        <v>50.311999999999998</v>
      </c>
      <c r="U13" t="s">
        <v>2</v>
      </c>
      <c r="V13">
        <f>M4</f>
        <v>1183.06</v>
      </c>
      <c r="X13" t="s">
        <v>2</v>
      </c>
      <c r="Y13">
        <f>M11</f>
        <v>40.524999999999999</v>
      </c>
    </row>
    <row r="14" spans="2:27" x14ac:dyDescent="0.25">
      <c r="B14" t="s">
        <v>33</v>
      </c>
      <c r="C14">
        <v>1</v>
      </c>
      <c r="D14">
        <f>30+50*C14</f>
        <v>80</v>
      </c>
      <c r="E14">
        <f>0.6*V10</f>
        <v>0</v>
      </c>
      <c r="F14">
        <f>E14+D14</f>
        <v>80</v>
      </c>
      <c r="O14" t="s">
        <v>93</v>
      </c>
      <c r="P14">
        <v>1</v>
      </c>
      <c r="R14" t="s">
        <v>10</v>
      </c>
      <c r="S14">
        <f>5+2*P15</f>
        <v>5</v>
      </c>
      <c r="U14" t="s">
        <v>16</v>
      </c>
      <c r="V14">
        <f>L20</f>
        <v>375</v>
      </c>
      <c r="X14" t="s">
        <v>10</v>
      </c>
      <c r="Y14">
        <f>1*P15</f>
        <v>0</v>
      </c>
    </row>
    <row r="15" spans="2:27" x14ac:dyDescent="0.25">
      <c r="O15" t="s">
        <v>94</v>
      </c>
      <c r="P15">
        <v>0</v>
      </c>
      <c r="R15" t="s">
        <v>13</v>
      </c>
      <c r="S15">
        <f>P16+3*P17/18*C4</f>
        <v>9</v>
      </c>
      <c r="U15" t="s">
        <v>10</v>
      </c>
      <c r="V15">
        <f>36+0.03*(V13+V14)*P14</f>
        <v>82.741799999999998</v>
      </c>
      <c r="X15" t="s">
        <v>13</v>
      </c>
      <c r="Y15">
        <v>0</v>
      </c>
    </row>
    <row r="16" spans="2:27" x14ac:dyDescent="0.25">
      <c r="B16" t="s">
        <v>34</v>
      </c>
      <c r="C16">
        <v>1</v>
      </c>
      <c r="D16">
        <f>100+100*C16</f>
        <v>200</v>
      </c>
      <c r="E16">
        <f>0.7*V10</f>
        <v>0</v>
      </c>
      <c r="F16">
        <f>E16+D16</f>
        <v>200</v>
      </c>
      <c r="G16" t="s">
        <v>0</v>
      </c>
      <c r="N16" t="s">
        <v>158</v>
      </c>
      <c r="O16" t="s">
        <v>216</v>
      </c>
      <c r="P16">
        <v>9</v>
      </c>
      <c r="R16" t="s">
        <v>16</v>
      </c>
      <c r="S16">
        <f>J20</f>
        <v>0</v>
      </c>
      <c r="U16" t="s">
        <v>290</v>
      </c>
      <c r="V16">
        <f>SUM(V13:V15)</f>
        <v>1640.8018</v>
      </c>
      <c r="X16" t="s">
        <v>16</v>
      </c>
      <c r="Y16">
        <f>K20</f>
        <v>0</v>
      </c>
    </row>
    <row r="17" spans="1:38" x14ac:dyDescent="0.25">
      <c r="O17" t="s">
        <v>217</v>
      </c>
      <c r="P17">
        <v>0</v>
      </c>
      <c r="R17" s="2" t="s">
        <v>87</v>
      </c>
      <c r="S17" s="2">
        <f>IF(C4&lt;7,10,IF(C4&lt;12,15,IF(C4&lt;17,20,25)))</f>
        <v>15</v>
      </c>
    </row>
    <row r="18" spans="1:38" x14ac:dyDescent="0.25">
      <c r="J18" s="2" t="s">
        <v>40</v>
      </c>
      <c r="R18" t="s">
        <v>10</v>
      </c>
      <c r="S18">
        <f>P13*0.025*SUM(S14:S17)</f>
        <v>1.4500000000000002</v>
      </c>
      <c r="U18" t="s">
        <v>13</v>
      </c>
      <c r="V18">
        <v>0</v>
      </c>
      <c r="X18" t="s">
        <v>10</v>
      </c>
      <c r="Y18">
        <f>P13*0.025*SUM(Y14:Y17)</f>
        <v>0</v>
      </c>
    </row>
    <row r="19" spans="1:38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  <c r="U19" t="s">
        <v>234</v>
      </c>
      <c r="V19">
        <f>(1+V18)*V16</f>
        <v>1640.8018</v>
      </c>
    </row>
    <row r="20" spans="1:38" x14ac:dyDescent="0.25">
      <c r="C20" t="s">
        <v>74</v>
      </c>
      <c r="F20">
        <v>1000</v>
      </c>
      <c r="J20">
        <f>D81</f>
        <v>0</v>
      </c>
      <c r="K20">
        <f>E81</f>
        <v>0</v>
      </c>
      <c r="L20">
        <f>F81*(1+0.25*B37)</f>
        <v>375</v>
      </c>
      <c r="M20">
        <f>G81</f>
        <v>0</v>
      </c>
      <c r="N20">
        <f>H81</f>
        <v>0</v>
      </c>
      <c r="R20" t="s">
        <v>90</v>
      </c>
      <c r="S20">
        <f>SUM(S13:S18)</f>
        <v>80.762</v>
      </c>
      <c r="X20" t="s">
        <v>96</v>
      </c>
      <c r="Y20">
        <f>SUM(Y13:Y18)</f>
        <v>40.524999999999999</v>
      </c>
    </row>
    <row r="21" spans="1:38" x14ac:dyDescent="0.25">
      <c r="C21" t="s">
        <v>117</v>
      </c>
      <c r="F21">
        <v>800</v>
      </c>
      <c r="H21">
        <f>V16*0.03</f>
        <v>49.224053999999995</v>
      </c>
    </row>
    <row r="22" spans="1:38" x14ac:dyDescent="0.25">
      <c r="C22" t="s">
        <v>75</v>
      </c>
      <c r="F22">
        <v>700</v>
      </c>
      <c r="R22" t="s">
        <v>98</v>
      </c>
      <c r="S22" t="s">
        <v>99</v>
      </c>
      <c r="U22" t="s">
        <v>100</v>
      </c>
      <c r="V22" t="s">
        <v>101</v>
      </c>
      <c r="W22">
        <v>4.1900000000000004</v>
      </c>
      <c r="X22">
        <v>5.3</v>
      </c>
      <c r="Y22" t="s">
        <v>118</v>
      </c>
      <c r="AB22" t="s">
        <v>280</v>
      </c>
      <c r="AD22" t="s">
        <v>279</v>
      </c>
      <c r="AF22" t="s">
        <v>281</v>
      </c>
      <c r="AH22" t="s">
        <v>282</v>
      </c>
      <c r="AJ22" t="s">
        <v>284</v>
      </c>
      <c r="AL22" t="s">
        <v>283</v>
      </c>
    </row>
    <row r="23" spans="1:38" x14ac:dyDescent="0.25">
      <c r="C23" t="s">
        <v>80</v>
      </c>
      <c r="F23">
        <v>650</v>
      </c>
      <c r="P23" s="2" t="s">
        <v>97</v>
      </c>
      <c r="R23">
        <v>0</v>
      </c>
      <c r="S23">
        <v>0.06</v>
      </c>
      <c r="U23">
        <f>$S$20*(1-S23)-R23</f>
        <v>75.91628</v>
      </c>
      <c r="V23">
        <f>$V$16*(100+U23)/100</f>
        <v>2886.43748873304</v>
      </c>
      <c r="W23">
        <v>20715.592674699998</v>
      </c>
      <c r="X23">
        <v>16960</v>
      </c>
      <c r="Y23">
        <f>($V$16+$B$30*(50+10*$C$4))*(100+U23)/100</f>
        <v>2886.43748873304</v>
      </c>
      <c r="Z23">
        <f>Y23/W23</f>
        <v>0.13933646669246655</v>
      </c>
      <c r="AB23">
        <v>17558</v>
      </c>
      <c r="AD23">
        <v>14874</v>
      </c>
      <c r="AF23">
        <v>19183</v>
      </c>
      <c r="AH23">
        <v>17037</v>
      </c>
      <c r="AJ23">
        <v>17844</v>
      </c>
      <c r="AL23">
        <v>19898</v>
      </c>
    </row>
    <row r="24" spans="1:38" x14ac:dyDescent="0.25">
      <c r="A24">
        <v>1</v>
      </c>
      <c r="C24" t="s">
        <v>76</v>
      </c>
      <c r="D24">
        <v>70</v>
      </c>
      <c r="F24">
        <v>500</v>
      </c>
      <c r="J24" s="2" t="s">
        <v>42</v>
      </c>
      <c r="L24" s="2" t="s">
        <v>130</v>
      </c>
      <c r="R24">
        <v>0</v>
      </c>
      <c r="S24">
        <v>0.38900000000000001</v>
      </c>
      <c r="U24">
        <f>$S$20*(1-S24)-R24</f>
        <v>49.345582</v>
      </c>
      <c r="V24">
        <f>$V$16*(100+U24)/100</f>
        <v>2450.4649976764763</v>
      </c>
      <c r="Y24">
        <f>($V$16+$B$30*(50+10*$C$4))*(100+U24)/100</f>
        <v>2450.4649976764763</v>
      </c>
      <c r="AF24">
        <v>13865</v>
      </c>
    </row>
    <row r="25" spans="1:38" x14ac:dyDescent="0.25">
      <c r="C25" t="s">
        <v>83</v>
      </c>
      <c r="F25">
        <v>500</v>
      </c>
      <c r="G25">
        <v>1</v>
      </c>
      <c r="J25" t="s">
        <v>25</v>
      </c>
      <c r="L25">
        <v>2000</v>
      </c>
      <c r="N25">
        <f>0.4*V10+(0.02+0.02*C8)*L25+D8</f>
        <v>240</v>
      </c>
      <c r="R25">
        <v>20</v>
      </c>
      <c r="S25">
        <v>0.06</v>
      </c>
      <c r="U25">
        <f>$S$20*(1-S25)-R25</f>
        <v>55.91628</v>
      </c>
      <c r="V25">
        <f>$V$16*(100+U25)/100</f>
        <v>2558.2771287330402</v>
      </c>
      <c r="Y25">
        <f>($V$16+$B$30*(50+10*$C$4))*(100+U25)/100</f>
        <v>2558.2771287330402</v>
      </c>
    </row>
    <row r="26" spans="1:38" x14ac:dyDescent="0.25">
      <c r="C26" t="s">
        <v>229</v>
      </c>
      <c r="F26">
        <v>500</v>
      </c>
      <c r="J26" t="s">
        <v>29</v>
      </c>
      <c r="N26">
        <f>F11+F12</f>
        <v>332</v>
      </c>
      <c r="R26">
        <v>20</v>
      </c>
      <c r="S26">
        <v>0.38900000000000001</v>
      </c>
      <c r="U26">
        <f>$S$20*(1-S26)-R26</f>
        <v>29.345582</v>
      </c>
      <c r="V26">
        <f>$V$16*(100+U26)/100</f>
        <v>2122.304637676476</v>
      </c>
      <c r="Y26">
        <f>($V$16+$B$30*(50+10*$C$4))*(100+U26)/100</f>
        <v>2122.304637676476</v>
      </c>
      <c r="AB26">
        <v>12268</v>
      </c>
      <c r="AD26">
        <v>10456</v>
      </c>
      <c r="AF26">
        <v>13067</v>
      </c>
      <c r="AH26">
        <v>11842</v>
      </c>
      <c r="AJ26">
        <v>12299</v>
      </c>
      <c r="AL26">
        <v>13524</v>
      </c>
    </row>
    <row r="27" spans="1:38" x14ac:dyDescent="0.25">
      <c r="A27">
        <v>1</v>
      </c>
      <c r="C27" t="s">
        <v>77</v>
      </c>
      <c r="D27">
        <v>45</v>
      </c>
      <c r="F27">
        <v>450</v>
      </c>
      <c r="J27" t="s">
        <v>33</v>
      </c>
      <c r="N27">
        <f>F14</f>
        <v>80</v>
      </c>
      <c r="R27">
        <v>10</v>
      </c>
      <c r="S27">
        <f>1-(1*0.94*0.65*0.75)</f>
        <v>0.54174999999999995</v>
      </c>
      <c r="U27">
        <f>$S$20*(1-S27)-R27</f>
        <v>27.009186500000006</v>
      </c>
      <c r="V27">
        <f>$V$16*(100+U27)/100</f>
        <v>2083.9690182573568</v>
      </c>
      <c r="W27">
        <v>12376.585678916252</v>
      </c>
      <c r="Y27">
        <f>($V$16+$B$30*(50+10*$C$4))*(100+U27)/100</f>
        <v>2083.9690182573568</v>
      </c>
      <c r="Z27">
        <f>Y27/W27</f>
        <v>0.16837996134971517</v>
      </c>
      <c r="AB27">
        <v>10911</v>
      </c>
      <c r="AD27">
        <v>9417</v>
      </c>
      <c r="AF27">
        <v>10998</v>
      </c>
      <c r="AH27">
        <v>10418</v>
      </c>
      <c r="AJ27">
        <v>10626</v>
      </c>
      <c r="AL27">
        <v>11324</v>
      </c>
    </row>
    <row r="28" spans="1:38" x14ac:dyDescent="0.25">
      <c r="A28">
        <v>1</v>
      </c>
      <c r="C28" t="s">
        <v>78</v>
      </c>
      <c r="E28">
        <v>55</v>
      </c>
      <c r="F28">
        <v>450</v>
      </c>
      <c r="G28">
        <v>1</v>
      </c>
      <c r="J28" t="s">
        <v>134</v>
      </c>
      <c r="N28">
        <f>X4</f>
        <v>600</v>
      </c>
    </row>
    <row r="29" spans="1:38" x14ac:dyDescent="0.25">
      <c r="A29">
        <v>1</v>
      </c>
      <c r="C29" t="s">
        <v>79</v>
      </c>
      <c r="E29">
        <v>55</v>
      </c>
      <c r="F29">
        <v>400</v>
      </c>
      <c r="G29">
        <v>1</v>
      </c>
    </row>
    <row r="30" spans="1:38" x14ac:dyDescent="0.25">
      <c r="A30">
        <v>1</v>
      </c>
      <c r="C30" t="s">
        <v>81</v>
      </c>
      <c r="E30">
        <v>40</v>
      </c>
      <c r="F30">
        <v>400</v>
      </c>
      <c r="G30">
        <v>0.75</v>
      </c>
      <c r="J30" t="s">
        <v>129</v>
      </c>
      <c r="N30">
        <f>SUM(N25:N27)</f>
        <v>652</v>
      </c>
    </row>
    <row r="31" spans="1:38" x14ac:dyDescent="0.25">
      <c r="C31" t="s">
        <v>82</v>
      </c>
      <c r="F31">
        <v>400</v>
      </c>
      <c r="J31" t="s">
        <v>135</v>
      </c>
      <c r="L31" s="2" t="s">
        <v>137</v>
      </c>
      <c r="N31">
        <f>N30+N28</f>
        <v>1252</v>
      </c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  <c r="X31">
        <v>5.3</v>
      </c>
    </row>
    <row r="32" spans="1:38" x14ac:dyDescent="0.25">
      <c r="C32" t="s">
        <v>84</v>
      </c>
      <c r="F32">
        <v>380</v>
      </c>
      <c r="L32">
        <f>L25-N31</f>
        <v>748</v>
      </c>
      <c r="R32">
        <v>0</v>
      </c>
      <c r="S32">
        <v>0.06</v>
      </c>
      <c r="U32">
        <f t="shared" ref="U32:U37" si="0">$Y$20*(1-S32)-R32</f>
        <v>38.093499999999999</v>
      </c>
      <c r="V32">
        <f t="shared" ref="V32:V37" si="1">$V$16*(100+U32)/100</f>
        <v>2265.8406336829999</v>
      </c>
      <c r="W32">
        <v>11332.5147474</v>
      </c>
      <c r="X32">
        <v>14352</v>
      </c>
      <c r="Y32">
        <f t="shared" ref="Y32:Y37" si="2">($V$16+$B$30*(50+10*$C$4))*(100+U32)/100</f>
        <v>2265.8406336829999</v>
      </c>
      <c r="Z32">
        <f>Y32/W32</f>
        <v>0.19994155614956052</v>
      </c>
      <c r="AB32">
        <v>13906</v>
      </c>
      <c r="AD32">
        <v>16953</v>
      </c>
      <c r="AF32">
        <v>9143</v>
      </c>
      <c r="AH32">
        <v>13757</v>
      </c>
      <c r="AJ32">
        <v>12546</v>
      </c>
      <c r="AL32">
        <v>10303</v>
      </c>
    </row>
    <row r="33" spans="1:38" x14ac:dyDescent="0.25">
      <c r="C33" t="s">
        <v>278</v>
      </c>
      <c r="D33">
        <v>50</v>
      </c>
      <c r="F33">
        <v>300</v>
      </c>
      <c r="J33" t="s">
        <v>131</v>
      </c>
      <c r="R33">
        <v>0</v>
      </c>
      <c r="S33">
        <v>0.38900000000000001</v>
      </c>
      <c r="U33">
        <f t="shared" si="0"/>
        <v>24.760774999999999</v>
      </c>
      <c r="V33">
        <f t="shared" si="1"/>
        <v>2047.0770418939499</v>
      </c>
      <c r="Y33">
        <f t="shared" si="2"/>
        <v>2047.0770418939499</v>
      </c>
    </row>
    <row r="34" spans="1:38" x14ac:dyDescent="0.25">
      <c r="C34" t="s">
        <v>59</v>
      </c>
      <c r="F34">
        <v>250</v>
      </c>
      <c r="J34" t="s">
        <v>132</v>
      </c>
      <c r="N34">
        <f>22.5</f>
        <v>22.5</v>
      </c>
      <c r="R34">
        <v>15</v>
      </c>
      <c r="S34">
        <v>0.06</v>
      </c>
      <c r="U34">
        <f t="shared" si="0"/>
        <v>23.093499999999999</v>
      </c>
      <c r="V34">
        <f t="shared" si="1"/>
        <v>2019.720363683</v>
      </c>
      <c r="Y34">
        <f t="shared" si="2"/>
        <v>2019.720363683</v>
      </c>
    </row>
    <row r="35" spans="1:38" x14ac:dyDescent="0.25">
      <c r="C35" t="s">
        <v>240</v>
      </c>
      <c r="E35">
        <v>40</v>
      </c>
      <c r="F35">
        <v>200</v>
      </c>
      <c r="J35" t="s">
        <v>208</v>
      </c>
      <c r="K35" t="s">
        <v>209</v>
      </c>
      <c r="L35">
        <f>12-C11</f>
        <v>7</v>
      </c>
      <c r="M35">
        <f>F11*4+F12</f>
        <v>1328</v>
      </c>
      <c r="N35">
        <f>(F12+F11*4)/L35</f>
        <v>189.71428571428572</v>
      </c>
      <c r="R35">
        <v>15</v>
      </c>
      <c r="S35">
        <v>0.38900000000000001</v>
      </c>
      <c r="U35">
        <f t="shared" si="0"/>
        <v>9.7607749999999989</v>
      </c>
      <c r="V35">
        <f t="shared" si="1"/>
        <v>1800.9567718939497</v>
      </c>
      <c r="Y35">
        <f t="shared" si="2"/>
        <v>1800.9567718939497</v>
      </c>
      <c r="AB35">
        <v>10179</v>
      </c>
      <c r="AD35">
        <v>12069</v>
      </c>
      <c r="AF35">
        <v>6741</v>
      </c>
      <c r="AH35">
        <v>9966</v>
      </c>
      <c r="AJ35">
        <v>9089</v>
      </c>
      <c r="AL35">
        <v>7484</v>
      </c>
    </row>
    <row r="36" spans="1:38" x14ac:dyDescent="0.25">
      <c r="C36" t="s">
        <v>107</v>
      </c>
      <c r="F36">
        <v>150</v>
      </c>
      <c r="J36" t="s">
        <v>210</v>
      </c>
      <c r="N36">
        <f>K97</f>
        <v>86.755798119899993</v>
      </c>
      <c r="R36">
        <v>30</v>
      </c>
      <c r="S36">
        <v>0.06</v>
      </c>
      <c r="U36">
        <f t="shared" si="0"/>
        <v>8.0934999999999988</v>
      </c>
      <c r="V36">
        <f t="shared" si="1"/>
        <v>1773.6000936830001</v>
      </c>
      <c r="Y36">
        <f t="shared" si="2"/>
        <v>1773.6000936830001</v>
      </c>
    </row>
    <row r="37" spans="1:38" x14ac:dyDescent="0.25">
      <c r="B37">
        <v>1</v>
      </c>
      <c r="C37" t="s">
        <v>85</v>
      </c>
      <c r="F37">
        <v>300</v>
      </c>
      <c r="I37">
        <f>(V14+V15)*0.25</f>
        <v>114.43545</v>
      </c>
      <c r="J37" t="s">
        <v>133</v>
      </c>
      <c r="N37">
        <f>SUM(N34:N36)</f>
        <v>298.97008383418574</v>
      </c>
      <c r="R37">
        <v>30</v>
      </c>
      <c r="S37">
        <v>0.38900000000000001</v>
      </c>
      <c r="U37">
        <f t="shared" si="0"/>
        <v>-5.2392250000000011</v>
      </c>
      <c r="V37">
        <f t="shared" si="1"/>
        <v>1554.8365018939498</v>
      </c>
      <c r="W37">
        <v>7642.2235858100003</v>
      </c>
      <c r="Y37">
        <f t="shared" si="2"/>
        <v>1554.8365018939498</v>
      </c>
      <c r="Z37">
        <f>Y37/W37</f>
        <v>0.20345341698467889</v>
      </c>
      <c r="AB37">
        <v>9324</v>
      </c>
      <c r="AD37">
        <v>11282</v>
      </c>
      <c r="AF37">
        <v>6142</v>
      </c>
      <c r="AH37">
        <v>9198</v>
      </c>
      <c r="AJ37">
        <v>8389</v>
      </c>
      <c r="AL37">
        <v>6894</v>
      </c>
    </row>
    <row r="38" spans="1:38" x14ac:dyDescent="0.25">
      <c r="C38" t="s">
        <v>115</v>
      </c>
      <c r="F38">
        <v>80</v>
      </c>
      <c r="H38">
        <v>6</v>
      </c>
    </row>
    <row r="39" spans="1:38" x14ac:dyDescent="0.25">
      <c r="C39" t="s">
        <v>106</v>
      </c>
      <c r="D39">
        <v>100</v>
      </c>
      <c r="J39" t="s">
        <v>136</v>
      </c>
      <c r="N39">
        <f>L32/N37</f>
        <v>2.5019225683291255</v>
      </c>
      <c r="X39">
        <v>15700</v>
      </c>
      <c r="AA39" t="s">
        <v>285</v>
      </c>
      <c r="AB39">
        <v>14150</v>
      </c>
      <c r="AD39">
        <v>14600</v>
      </c>
      <c r="AF39">
        <v>13600</v>
      </c>
      <c r="AH39">
        <v>14450</v>
      </c>
      <c r="AJ39">
        <v>13950</v>
      </c>
      <c r="AL39">
        <v>14950</v>
      </c>
    </row>
    <row r="40" spans="1:38" x14ac:dyDescent="0.25">
      <c r="C40" t="s">
        <v>105</v>
      </c>
      <c r="D40">
        <v>100</v>
      </c>
      <c r="X40">
        <v>14750</v>
      </c>
    </row>
    <row r="41" spans="1:38" x14ac:dyDescent="0.25">
      <c r="C41" t="s">
        <v>113</v>
      </c>
      <c r="D41">
        <v>50</v>
      </c>
    </row>
    <row r="42" spans="1:38" x14ac:dyDescent="0.25">
      <c r="C42" t="s">
        <v>108</v>
      </c>
      <c r="D42">
        <v>40</v>
      </c>
    </row>
    <row r="43" spans="1:38" x14ac:dyDescent="0.25">
      <c r="A43">
        <v>1</v>
      </c>
      <c r="C43" t="s">
        <v>109</v>
      </c>
      <c r="D43">
        <v>25</v>
      </c>
    </row>
    <row r="44" spans="1:38" x14ac:dyDescent="0.25">
      <c r="C44" t="s">
        <v>114</v>
      </c>
      <c r="D44">
        <v>15</v>
      </c>
      <c r="M44" t="s">
        <v>220</v>
      </c>
      <c r="N44">
        <v>2000</v>
      </c>
      <c r="R44" t="s">
        <v>226</v>
      </c>
      <c r="S44">
        <v>0</v>
      </c>
    </row>
    <row r="45" spans="1:38" x14ac:dyDescent="0.25">
      <c r="C45" t="s">
        <v>116</v>
      </c>
      <c r="E45">
        <v>50</v>
      </c>
      <c r="M45" t="s">
        <v>221</v>
      </c>
      <c r="N45">
        <v>2200</v>
      </c>
      <c r="R45" t="s">
        <v>227</v>
      </c>
      <c r="S45">
        <f>5+1.67/18*C4*9</f>
        <v>12.515000000000001</v>
      </c>
    </row>
    <row r="46" spans="1:38" x14ac:dyDescent="0.25">
      <c r="C46" t="s">
        <v>127</v>
      </c>
      <c r="E46">
        <f>3/18*6*C4</f>
        <v>9</v>
      </c>
      <c r="M46" t="s">
        <v>89</v>
      </c>
      <c r="N46">
        <v>4400</v>
      </c>
      <c r="R46" t="s">
        <v>228</v>
      </c>
      <c r="S46">
        <f>MIN(S44+S45,40)</f>
        <v>12.515000000000001</v>
      </c>
    </row>
    <row r="47" spans="1:38" x14ac:dyDescent="0.25">
      <c r="C47" t="s">
        <v>119</v>
      </c>
      <c r="D47">
        <v>2</v>
      </c>
      <c r="E47">
        <v>0.9</v>
      </c>
      <c r="F47">
        <v>129</v>
      </c>
    </row>
    <row r="48" spans="1:38" x14ac:dyDescent="0.25">
      <c r="C48" t="s">
        <v>110</v>
      </c>
      <c r="E48">
        <v>25</v>
      </c>
      <c r="N48" t="s">
        <v>314</v>
      </c>
      <c r="P48" t="s">
        <v>209</v>
      </c>
    </row>
    <row r="49" spans="3:26" x14ac:dyDescent="0.25">
      <c r="M49" t="s">
        <v>25</v>
      </c>
      <c r="N49">
        <f>D8</f>
        <v>120</v>
      </c>
      <c r="O49">
        <f>12-C8</f>
        <v>10</v>
      </c>
      <c r="P49">
        <f>(1-0.01*$S$46)*O49</f>
        <v>8.7484999999999999</v>
      </c>
    </row>
    <row r="51" spans="3:26" x14ac:dyDescent="0.25">
      <c r="C51" s="2" t="s">
        <v>72</v>
      </c>
    </row>
    <row r="52" spans="3:26" x14ac:dyDescent="0.25">
      <c r="D52">
        <f>D20*$B20</f>
        <v>0</v>
      </c>
      <c r="E52">
        <f>E20*$B20</f>
        <v>0</v>
      </c>
      <c r="F52">
        <f>F20*$B20</f>
        <v>0</v>
      </c>
      <c r="G52">
        <f>G20*$B20</f>
        <v>0</v>
      </c>
      <c r="H52">
        <f>H20*$B20</f>
        <v>0</v>
      </c>
      <c r="M52" t="s">
        <v>29</v>
      </c>
      <c r="N52">
        <f>-10+30*C11+0.3*V10</f>
        <v>140</v>
      </c>
      <c r="O52">
        <f>9-C11</f>
        <v>4</v>
      </c>
      <c r="P52">
        <f>(1-0.01*$S$46)*O52</f>
        <v>3.4994000000000001</v>
      </c>
    </row>
    <row r="53" spans="3:26" x14ac:dyDescent="0.25">
      <c r="D53">
        <f t="shared" ref="D53:H68" si="3">D21*$B21</f>
        <v>0</v>
      </c>
      <c r="E53">
        <f t="shared" si="3"/>
        <v>0</v>
      </c>
      <c r="F53">
        <f t="shared" si="3"/>
        <v>0</v>
      </c>
      <c r="G53">
        <f t="shared" si="3"/>
        <v>0</v>
      </c>
      <c r="H53">
        <f t="shared" si="3"/>
        <v>0</v>
      </c>
      <c r="M53" t="s">
        <v>312</v>
      </c>
      <c r="N53">
        <f>E11</f>
        <v>192.00000000000003</v>
      </c>
      <c r="O53">
        <v>4</v>
      </c>
      <c r="P53">
        <f>(1-0.01*$S$46)*O53</f>
        <v>3.4994000000000001</v>
      </c>
    </row>
    <row r="54" spans="3:26" x14ac:dyDescent="0.25">
      <c r="D54">
        <f t="shared" si="3"/>
        <v>0</v>
      </c>
      <c r="E54">
        <f t="shared" si="3"/>
        <v>0</v>
      </c>
      <c r="F54">
        <f t="shared" si="3"/>
        <v>0</v>
      </c>
      <c r="G54">
        <f t="shared" si="3"/>
        <v>0</v>
      </c>
      <c r="H54">
        <f t="shared" si="3"/>
        <v>0</v>
      </c>
      <c r="M54" t="s">
        <v>313</v>
      </c>
      <c r="N54">
        <f>N53+N52</f>
        <v>332</v>
      </c>
      <c r="O54">
        <v>4</v>
      </c>
      <c r="P54">
        <f>(1-0.01*$S$46)*O54</f>
        <v>3.4994000000000001</v>
      </c>
    </row>
    <row r="55" spans="3:26" x14ac:dyDescent="0.25">
      <c r="D55">
        <f t="shared" si="3"/>
        <v>0</v>
      </c>
      <c r="E55">
        <f t="shared" si="3"/>
        <v>0</v>
      </c>
      <c r="F55">
        <f t="shared" si="3"/>
        <v>0</v>
      </c>
      <c r="G55">
        <f t="shared" si="3"/>
        <v>0</v>
      </c>
      <c r="H55">
        <f t="shared" si="3"/>
        <v>0</v>
      </c>
    </row>
    <row r="56" spans="3:26" x14ac:dyDescent="0.25">
      <c r="D56">
        <f t="shared" si="3"/>
        <v>0</v>
      </c>
      <c r="E56">
        <f t="shared" si="3"/>
        <v>0</v>
      </c>
      <c r="F56">
        <f t="shared" si="3"/>
        <v>0</v>
      </c>
      <c r="G56">
        <f t="shared" si="3"/>
        <v>0</v>
      </c>
      <c r="H56">
        <f t="shared" si="3"/>
        <v>0</v>
      </c>
    </row>
    <row r="57" spans="3:26" x14ac:dyDescent="0.25">
      <c r="D57">
        <f t="shared" si="3"/>
        <v>0</v>
      </c>
      <c r="E57">
        <f t="shared" si="3"/>
        <v>0</v>
      </c>
      <c r="F57">
        <f t="shared" si="3"/>
        <v>0</v>
      </c>
      <c r="G57">
        <f t="shared" si="3"/>
        <v>0</v>
      </c>
      <c r="H57">
        <f t="shared" si="3"/>
        <v>0</v>
      </c>
      <c r="M57" t="s">
        <v>33</v>
      </c>
      <c r="N57">
        <f>F14</f>
        <v>80</v>
      </c>
      <c r="O57">
        <v>12</v>
      </c>
      <c r="P57">
        <f>(1-0.01*$S$46)*O57</f>
        <v>10.498200000000001</v>
      </c>
    </row>
    <row r="58" spans="3:26" x14ac:dyDescent="0.25">
      <c r="D58">
        <f t="shared" si="3"/>
        <v>0</v>
      </c>
      <c r="E58">
        <f t="shared" si="3"/>
        <v>0</v>
      </c>
      <c r="F58">
        <f t="shared" si="3"/>
        <v>0</v>
      </c>
      <c r="G58">
        <f t="shared" si="3"/>
        <v>0</v>
      </c>
      <c r="H58">
        <f t="shared" si="3"/>
        <v>0</v>
      </c>
    </row>
    <row r="59" spans="3:26" x14ac:dyDescent="0.25">
      <c r="D59">
        <f t="shared" si="3"/>
        <v>0</v>
      </c>
      <c r="E59">
        <f t="shared" si="3"/>
        <v>0</v>
      </c>
      <c r="F59">
        <f t="shared" si="3"/>
        <v>0</v>
      </c>
      <c r="G59">
        <f t="shared" si="3"/>
        <v>0</v>
      </c>
      <c r="H59">
        <f t="shared" si="3"/>
        <v>0</v>
      </c>
    </row>
    <row r="60" spans="3:26" x14ac:dyDescent="0.25">
      <c r="D60">
        <f t="shared" si="3"/>
        <v>0</v>
      </c>
      <c r="E60">
        <f t="shared" si="3"/>
        <v>0</v>
      </c>
      <c r="F60">
        <f t="shared" si="3"/>
        <v>0</v>
      </c>
      <c r="G60">
        <f t="shared" si="3"/>
        <v>0</v>
      </c>
      <c r="H60">
        <f t="shared" si="3"/>
        <v>0</v>
      </c>
      <c r="V60" t="s">
        <v>225</v>
      </c>
      <c r="Y60" t="s">
        <v>231</v>
      </c>
    </row>
    <row r="61" spans="3:26" x14ac:dyDescent="0.25">
      <c r="D61">
        <f t="shared" si="3"/>
        <v>0</v>
      </c>
      <c r="E61">
        <f t="shared" si="3"/>
        <v>0</v>
      </c>
      <c r="F61">
        <f t="shared" si="3"/>
        <v>0</v>
      </c>
      <c r="G61">
        <f t="shared" si="3"/>
        <v>0</v>
      </c>
      <c r="H61">
        <f t="shared" si="3"/>
        <v>0</v>
      </c>
      <c r="V61">
        <f>S72/O72</f>
        <v>0</v>
      </c>
      <c r="Y61">
        <f>S72/Y70</f>
        <v>0</v>
      </c>
      <c r="Z61" t="s">
        <v>238</v>
      </c>
    </row>
    <row r="62" spans="3:26" x14ac:dyDescent="0.25">
      <c r="D62">
        <f t="shared" si="3"/>
        <v>0</v>
      </c>
      <c r="E62">
        <f t="shared" si="3"/>
        <v>0</v>
      </c>
      <c r="F62">
        <f t="shared" si="3"/>
        <v>0</v>
      </c>
      <c r="G62">
        <f t="shared" si="3"/>
        <v>0</v>
      </c>
      <c r="H62">
        <f t="shared" si="3"/>
        <v>0</v>
      </c>
    </row>
    <row r="63" spans="3:26" x14ac:dyDescent="0.25">
      <c r="D63">
        <f t="shared" si="3"/>
        <v>0</v>
      </c>
      <c r="E63">
        <f t="shared" si="3"/>
        <v>0</v>
      </c>
      <c r="F63">
        <f t="shared" si="3"/>
        <v>0</v>
      </c>
      <c r="G63">
        <f t="shared" si="3"/>
        <v>0</v>
      </c>
      <c r="H63">
        <f t="shared" si="3"/>
        <v>0</v>
      </c>
    </row>
    <row r="64" spans="3:26" x14ac:dyDescent="0.25">
      <c r="D64">
        <f t="shared" si="3"/>
        <v>0</v>
      </c>
      <c r="E64">
        <f t="shared" si="3"/>
        <v>0</v>
      </c>
      <c r="F64">
        <f t="shared" si="3"/>
        <v>0</v>
      </c>
      <c r="G64">
        <f t="shared" si="3"/>
        <v>0</v>
      </c>
      <c r="H64">
        <f t="shared" si="3"/>
        <v>0</v>
      </c>
      <c r="O64" t="s">
        <v>133</v>
      </c>
    </row>
    <row r="65" spans="4:26" x14ac:dyDescent="0.25">
      <c r="D65">
        <f t="shared" si="3"/>
        <v>0</v>
      </c>
      <c r="E65">
        <f t="shared" si="3"/>
        <v>0</v>
      </c>
      <c r="F65">
        <f t="shared" si="3"/>
        <v>0</v>
      </c>
      <c r="G65">
        <f t="shared" si="3"/>
        <v>0</v>
      </c>
      <c r="H65">
        <f t="shared" si="3"/>
        <v>0</v>
      </c>
      <c r="M65" t="s">
        <v>311</v>
      </c>
      <c r="N65">
        <f>F9</f>
        <v>200</v>
      </c>
      <c r="O65">
        <f>N65/P49</f>
        <v>22.861061896325083</v>
      </c>
    </row>
    <row r="66" spans="4:26" x14ac:dyDescent="0.25">
      <c r="D66">
        <f t="shared" si="3"/>
        <v>0</v>
      </c>
      <c r="E66">
        <f t="shared" si="3"/>
        <v>0</v>
      </c>
      <c r="F66">
        <f t="shared" si="3"/>
        <v>0</v>
      </c>
      <c r="G66">
        <f t="shared" si="3"/>
        <v>0</v>
      </c>
      <c r="H66">
        <f t="shared" si="3"/>
        <v>0</v>
      </c>
      <c r="M66" t="s">
        <v>310</v>
      </c>
      <c r="N66">
        <f>F8</f>
        <v>120</v>
      </c>
      <c r="O66">
        <f>N49/P49</f>
        <v>13.71663713779505</v>
      </c>
    </row>
    <row r="67" spans="4:26" x14ac:dyDescent="0.25">
      <c r="D67">
        <f t="shared" si="3"/>
        <v>0</v>
      </c>
      <c r="E67">
        <f t="shared" si="3"/>
        <v>0</v>
      </c>
      <c r="F67">
        <f t="shared" si="3"/>
        <v>0</v>
      </c>
      <c r="G67">
        <f t="shared" si="3"/>
        <v>0</v>
      </c>
      <c r="H67">
        <f t="shared" si="3"/>
        <v>0</v>
      </c>
      <c r="M67" t="s">
        <v>223</v>
      </c>
      <c r="N67">
        <f>N54</f>
        <v>332</v>
      </c>
      <c r="O67">
        <f>N67/P52</f>
        <v>94.873406869749104</v>
      </c>
      <c r="Y67" t="s">
        <v>230</v>
      </c>
    </row>
    <row r="68" spans="4:26" x14ac:dyDescent="0.25">
      <c r="D68">
        <f t="shared" si="3"/>
        <v>0</v>
      </c>
      <c r="E68">
        <f t="shared" si="3"/>
        <v>0</v>
      </c>
      <c r="F68">
        <f t="shared" si="3"/>
        <v>0</v>
      </c>
      <c r="G68">
        <f t="shared" si="3"/>
        <v>0</v>
      </c>
      <c r="H68">
        <f t="shared" si="3"/>
        <v>0</v>
      </c>
      <c r="M68" t="s">
        <v>224</v>
      </c>
      <c r="N68">
        <f>N57</f>
        <v>80</v>
      </c>
      <c r="O68">
        <f>N68/(P57-3)</f>
        <v>10.669227281214157</v>
      </c>
      <c r="W68">
        <v>336.4</v>
      </c>
      <c r="Y68">
        <v>290</v>
      </c>
      <c r="Z68" t="s">
        <v>237</v>
      </c>
    </row>
    <row r="69" spans="4:26" x14ac:dyDescent="0.25">
      <c r="D69">
        <f t="shared" ref="D69:H80" si="4">D37*$B37</f>
        <v>0</v>
      </c>
      <c r="E69">
        <f t="shared" si="4"/>
        <v>0</v>
      </c>
      <c r="F69">
        <f t="shared" si="4"/>
        <v>300</v>
      </c>
      <c r="G69">
        <f t="shared" si="4"/>
        <v>0</v>
      </c>
      <c r="H69">
        <f t="shared" si="4"/>
        <v>0</v>
      </c>
      <c r="M69" t="s">
        <v>233</v>
      </c>
      <c r="N69">
        <f>SUM(N65:N68)</f>
        <v>732</v>
      </c>
      <c r="O69">
        <f>SUM(O66:O68)</f>
        <v>119.25927128875831</v>
      </c>
      <c r="Y69">
        <f>V72</f>
        <v>62.958408489899995</v>
      </c>
      <c r="Z69" t="s">
        <v>210</v>
      </c>
    </row>
    <row r="70" spans="4:26" x14ac:dyDescent="0.25">
      <c r="D70">
        <f t="shared" si="4"/>
        <v>0</v>
      </c>
      <c r="E70">
        <f t="shared" si="4"/>
        <v>0</v>
      </c>
      <c r="F70">
        <f t="shared" si="4"/>
        <v>0</v>
      </c>
      <c r="G70">
        <f t="shared" si="4"/>
        <v>0</v>
      </c>
      <c r="H70">
        <f t="shared" si="4"/>
        <v>0</v>
      </c>
      <c r="M70" t="s">
        <v>239</v>
      </c>
      <c r="O70">
        <f>B27*(25+C4) + B37*(24+1.5*C4)</f>
        <v>37.5</v>
      </c>
      <c r="Y70">
        <f>Y68+Y69</f>
        <v>352.95840848989997</v>
      </c>
      <c r="Z70" t="s">
        <v>21</v>
      </c>
    </row>
    <row r="71" spans="4:26" x14ac:dyDescent="0.25">
      <c r="D71">
        <f t="shared" si="4"/>
        <v>0</v>
      </c>
      <c r="E71">
        <f t="shared" si="4"/>
        <v>0</v>
      </c>
      <c r="F71">
        <f t="shared" si="4"/>
        <v>0</v>
      </c>
      <c r="G71">
        <f t="shared" si="4"/>
        <v>0</v>
      </c>
      <c r="H71">
        <f t="shared" si="4"/>
        <v>0</v>
      </c>
      <c r="M71" t="s">
        <v>232</v>
      </c>
      <c r="O71">
        <f>N36</f>
        <v>86.755798119899993</v>
      </c>
      <c r="V71" t="s">
        <v>235</v>
      </c>
    </row>
    <row r="72" spans="4:26" x14ac:dyDescent="0.25">
      <c r="D72">
        <f t="shared" si="4"/>
        <v>0</v>
      </c>
      <c r="E72">
        <f t="shared" si="4"/>
        <v>0</v>
      </c>
      <c r="F72">
        <f t="shared" si="4"/>
        <v>0</v>
      </c>
      <c r="G72">
        <f t="shared" si="4"/>
        <v>0</v>
      </c>
      <c r="H72">
        <f t="shared" si="4"/>
        <v>0</v>
      </c>
      <c r="M72" t="s">
        <v>234</v>
      </c>
      <c r="O72" s="2">
        <f>O71+O69+O70</f>
        <v>243.51506940865829</v>
      </c>
      <c r="S72" s="2"/>
      <c r="V72">
        <f>M9*M8</f>
        <v>62.958408489899995</v>
      </c>
    </row>
    <row r="73" spans="4:26" x14ac:dyDescent="0.25">
      <c r="D73">
        <f t="shared" si="4"/>
        <v>0</v>
      </c>
      <c r="E73">
        <f t="shared" si="4"/>
        <v>0</v>
      </c>
      <c r="F73">
        <f t="shared" si="4"/>
        <v>0</v>
      </c>
      <c r="G73">
        <f t="shared" si="4"/>
        <v>0</v>
      </c>
      <c r="H73">
        <f t="shared" si="4"/>
        <v>0</v>
      </c>
    </row>
    <row r="74" spans="4:26" x14ac:dyDescent="0.25">
      <c r="D74">
        <f t="shared" si="4"/>
        <v>0</v>
      </c>
      <c r="E74">
        <f t="shared" si="4"/>
        <v>0</v>
      </c>
      <c r="F74">
        <f t="shared" si="4"/>
        <v>0</v>
      </c>
      <c r="G74">
        <f t="shared" si="4"/>
        <v>0</v>
      </c>
      <c r="H74">
        <f t="shared" si="4"/>
        <v>0</v>
      </c>
      <c r="M74" t="s">
        <v>219</v>
      </c>
      <c r="N74" t="e">
        <f>#REF!+N65+N67</f>
        <v>#REF!</v>
      </c>
      <c r="Q74" t="s">
        <v>219</v>
      </c>
    </row>
    <row r="75" spans="4:26" x14ac:dyDescent="0.25">
      <c r="D75">
        <f t="shared" si="4"/>
        <v>0</v>
      </c>
      <c r="E75">
        <f t="shared" si="4"/>
        <v>0</v>
      </c>
      <c r="F75">
        <f t="shared" si="4"/>
        <v>0</v>
      </c>
      <c r="G75">
        <f t="shared" si="4"/>
        <v>0</v>
      </c>
      <c r="H75">
        <f t="shared" si="4"/>
        <v>0</v>
      </c>
    </row>
    <row r="76" spans="4:26" x14ac:dyDescent="0.25">
      <c r="D76">
        <f t="shared" si="4"/>
        <v>0</v>
      </c>
      <c r="E76">
        <f t="shared" si="4"/>
        <v>0</v>
      </c>
      <c r="F76">
        <f t="shared" si="4"/>
        <v>0</v>
      </c>
      <c r="G76">
        <f t="shared" si="4"/>
        <v>0</v>
      </c>
      <c r="H76">
        <f t="shared" si="4"/>
        <v>0</v>
      </c>
    </row>
    <row r="77" spans="4:26" x14ac:dyDescent="0.25">
      <c r="D77">
        <f t="shared" si="4"/>
        <v>0</v>
      </c>
      <c r="E77">
        <f t="shared" si="4"/>
        <v>0</v>
      </c>
      <c r="F77">
        <f t="shared" si="4"/>
        <v>0</v>
      </c>
      <c r="G77">
        <f t="shared" si="4"/>
        <v>0</v>
      </c>
      <c r="H77">
        <f t="shared" si="4"/>
        <v>0</v>
      </c>
    </row>
    <row r="78" spans="4:26" x14ac:dyDescent="0.25">
      <c r="D78">
        <f t="shared" si="4"/>
        <v>0</v>
      </c>
      <c r="E78">
        <f t="shared" si="4"/>
        <v>0</v>
      </c>
      <c r="F78">
        <f t="shared" si="4"/>
        <v>0</v>
      </c>
      <c r="G78">
        <f t="shared" si="4"/>
        <v>0</v>
      </c>
      <c r="H78">
        <f t="shared" si="4"/>
        <v>0</v>
      </c>
    </row>
    <row r="79" spans="4:26" x14ac:dyDescent="0.25">
      <c r="D79">
        <f t="shared" si="4"/>
        <v>0</v>
      </c>
      <c r="E79">
        <f t="shared" si="4"/>
        <v>0</v>
      </c>
      <c r="F79">
        <f t="shared" si="4"/>
        <v>0</v>
      </c>
      <c r="G79">
        <f t="shared" si="4"/>
        <v>0</v>
      </c>
      <c r="H79">
        <f t="shared" si="4"/>
        <v>0</v>
      </c>
    </row>
    <row r="80" spans="4:26" x14ac:dyDescent="0.25">
      <c r="D80">
        <f t="shared" si="4"/>
        <v>0</v>
      </c>
      <c r="E80">
        <f t="shared" si="4"/>
        <v>0</v>
      </c>
      <c r="F80">
        <f t="shared" si="4"/>
        <v>0</v>
      </c>
      <c r="G80">
        <f t="shared" si="4"/>
        <v>0</v>
      </c>
      <c r="H80">
        <f t="shared" si="4"/>
        <v>0</v>
      </c>
    </row>
    <row r="81" spans="2:22" x14ac:dyDescent="0.25">
      <c r="C81" s="2" t="s">
        <v>73</v>
      </c>
      <c r="D81">
        <f>SUM(D52:D80)</f>
        <v>0</v>
      </c>
      <c r="E81">
        <f>SUM(E52:E80)</f>
        <v>0</v>
      </c>
      <c r="F81">
        <f>SUM(F52:F80)</f>
        <v>300</v>
      </c>
      <c r="G81">
        <f>SUM(G52:G80)</f>
        <v>0</v>
      </c>
      <c r="H81">
        <f>SUM(H52:H80)</f>
        <v>0</v>
      </c>
      <c r="R81" t="s">
        <v>255</v>
      </c>
      <c r="T81" t="s">
        <v>256</v>
      </c>
      <c r="U81" t="s">
        <v>258</v>
      </c>
      <c r="V81" t="s">
        <v>259</v>
      </c>
    </row>
    <row r="82" spans="2:22" x14ac:dyDescent="0.25">
      <c r="R82">
        <f>S20</f>
        <v>80.762</v>
      </c>
      <c r="S82">
        <f>100/(100+S20)</f>
        <v>0.55321361790641843</v>
      </c>
    </row>
    <row r="83" spans="2:22" x14ac:dyDescent="0.25">
      <c r="Q83" t="s">
        <v>257</v>
      </c>
      <c r="S83">
        <f>S82*0.9</f>
        <v>0.49789225611577659</v>
      </c>
      <c r="T83">
        <f>100/S83-100</f>
        <v>100.84666666666664</v>
      </c>
      <c r="U83">
        <f>T83-R82</f>
        <v>20.084666666666635</v>
      </c>
    </row>
    <row r="84" spans="2:22" x14ac:dyDescent="0.25">
      <c r="Q84" t="s">
        <v>259</v>
      </c>
      <c r="S84">
        <f>S83*0.85</f>
        <v>0.42320841769841011</v>
      </c>
      <c r="T84">
        <f>100/S84-100</f>
        <v>136.29019607843134</v>
      </c>
      <c r="V84">
        <f>T84-T83</f>
        <v>35.4435294117647</v>
      </c>
    </row>
    <row r="85" spans="2:22" x14ac:dyDescent="0.25">
      <c r="B85" s="2" t="s">
        <v>35</v>
      </c>
      <c r="C85" s="2" t="s">
        <v>36</v>
      </c>
      <c r="D85" s="2" t="s">
        <v>37</v>
      </c>
      <c r="E85" s="2" t="s">
        <v>38</v>
      </c>
      <c r="F85" s="2" t="s">
        <v>39</v>
      </c>
      <c r="I85" s="2" t="s">
        <v>40</v>
      </c>
      <c r="J85" s="2" t="s">
        <v>37</v>
      </c>
      <c r="K85" s="2" t="s">
        <v>38</v>
      </c>
      <c r="L85" s="2" t="s">
        <v>41</v>
      </c>
    </row>
    <row r="86" spans="2:22" x14ac:dyDescent="0.25">
      <c r="C86" t="s">
        <v>43</v>
      </c>
      <c r="D86">
        <v>80</v>
      </c>
      <c r="E86">
        <v>0</v>
      </c>
      <c r="F86">
        <v>0.25</v>
      </c>
      <c r="J86">
        <f>D136</f>
        <v>0</v>
      </c>
      <c r="K86">
        <f>E136</f>
        <v>0</v>
      </c>
      <c r="L86">
        <f>F136</f>
        <v>0</v>
      </c>
    </row>
    <row r="87" spans="2:22" x14ac:dyDescent="0.25">
      <c r="C87" t="s">
        <v>44</v>
      </c>
      <c r="D87">
        <v>0</v>
      </c>
      <c r="E87">
        <v>0.5</v>
      </c>
      <c r="F87">
        <v>0.3</v>
      </c>
    </row>
    <row r="88" spans="2:22" x14ac:dyDescent="0.25">
      <c r="C88" t="s">
        <v>45</v>
      </c>
      <c r="E88">
        <v>0.4</v>
      </c>
      <c r="F88">
        <v>0.2</v>
      </c>
      <c r="I88" t="s">
        <v>12</v>
      </c>
      <c r="K88">
        <f>AA10</f>
        <v>0.92322866999999997</v>
      </c>
    </row>
    <row r="89" spans="2:22" x14ac:dyDescent="0.25">
      <c r="C89" t="s">
        <v>46</v>
      </c>
      <c r="D89">
        <v>40</v>
      </c>
      <c r="E89">
        <v>0</v>
      </c>
      <c r="F89">
        <v>0</v>
      </c>
    </row>
    <row r="90" spans="2:22" x14ac:dyDescent="0.25">
      <c r="C90" t="s">
        <v>47</v>
      </c>
      <c r="D90">
        <v>80</v>
      </c>
      <c r="E90">
        <v>0</v>
      </c>
      <c r="F90">
        <v>0</v>
      </c>
      <c r="I90" t="s">
        <v>48</v>
      </c>
      <c r="K90">
        <v>2.5</v>
      </c>
    </row>
    <row r="91" spans="2:22" x14ac:dyDescent="0.25">
      <c r="C91" t="s">
        <v>49</v>
      </c>
      <c r="D91">
        <v>80</v>
      </c>
    </row>
    <row r="92" spans="2:22" x14ac:dyDescent="0.25">
      <c r="C92" t="s">
        <v>50</v>
      </c>
      <c r="D92">
        <v>7</v>
      </c>
      <c r="I92" t="s">
        <v>51</v>
      </c>
      <c r="K92">
        <f>S10</f>
        <v>93.97</v>
      </c>
    </row>
    <row r="93" spans="2:22" x14ac:dyDescent="0.25">
      <c r="C93" t="s">
        <v>52</v>
      </c>
      <c r="D93">
        <v>25</v>
      </c>
      <c r="E93">
        <v>0.5</v>
      </c>
      <c r="I93" t="s">
        <v>53</v>
      </c>
      <c r="K93">
        <f>K92*(1+1.5*L86)</f>
        <v>93.97</v>
      </c>
    </row>
    <row r="94" spans="2:22" x14ac:dyDescent="0.25">
      <c r="C94" t="s">
        <v>54</v>
      </c>
      <c r="D94">
        <v>40</v>
      </c>
      <c r="E94">
        <v>0.4</v>
      </c>
      <c r="F94">
        <v>0</v>
      </c>
      <c r="I94" t="s">
        <v>55</v>
      </c>
      <c r="K94">
        <f>K92*IF(B86,2.5,2)</f>
        <v>187.94</v>
      </c>
    </row>
    <row r="95" spans="2:22" x14ac:dyDescent="0.25">
      <c r="C95" t="s">
        <v>56</v>
      </c>
      <c r="D95">
        <v>30</v>
      </c>
      <c r="E95">
        <v>0</v>
      </c>
      <c r="F95">
        <v>0.15</v>
      </c>
    </row>
    <row r="96" spans="2:22" x14ac:dyDescent="0.25">
      <c r="C96" t="s">
        <v>57</v>
      </c>
      <c r="E96">
        <v>0.2</v>
      </c>
      <c r="I96" t="s">
        <v>58</v>
      </c>
      <c r="K96">
        <f>S10*K88</f>
        <v>86.755798119899993</v>
      </c>
    </row>
    <row r="97" spans="3:11" x14ac:dyDescent="0.25">
      <c r="C97" t="s">
        <v>59</v>
      </c>
      <c r="D97">
        <v>30</v>
      </c>
      <c r="E97">
        <v>0.3</v>
      </c>
      <c r="F97">
        <v>0.1</v>
      </c>
      <c r="I97" t="s">
        <v>60</v>
      </c>
      <c r="K97">
        <f>K96*(1+1.5*L86)</f>
        <v>86.755798119899993</v>
      </c>
    </row>
    <row r="98" spans="3:11" x14ac:dyDescent="0.25">
      <c r="C98" t="s">
        <v>61</v>
      </c>
      <c r="D98">
        <v>20</v>
      </c>
    </row>
    <row r="99" spans="3:11" x14ac:dyDescent="0.25">
      <c r="C99" t="s">
        <v>62</v>
      </c>
      <c r="D99">
        <v>60</v>
      </c>
    </row>
    <row r="100" spans="3:11" x14ac:dyDescent="0.25">
      <c r="C100" t="s">
        <v>63</v>
      </c>
      <c r="D100">
        <v>25</v>
      </c>
    </row>
    <row r="101" spans="3:11" x14ac:dyDescent="0.25">
      <c r="C101" t="s">
        <v>64</v>
      </c>
      <c r="D101">
        <v>50</v>
      </c>
    </row>
    <row r="102" spans="3:11" x14ac:dyDescent="0.25">
      <c r="C102" t="s">
        <v>65</v>
      </c>
      <c r="D102">
        <v>25</v>
      </c>
    </row>
    <row r="103" spans="3:11" x14ac:dyDescent="0.25">
      <c r="C103" t="s">
        <v>66</v>
      </c>
      <c r="D103">
        <v>25</v>
      </c>
    </row>
    <row r="104" spans="3:11" x14ac:dyDescent="0.25">
      <c r="C104" t="s">
        <v>67</v>
      </c>
      <c r="D104">
        <v>40</v>
      </c>
    </row>
    <row r="105" spans="3:11" x14ac:dyDescent="0.25">
      <c r="C105" t="s">
        <v>68</v>
      </c>
      <c r="D105">
        <v>75</v>
      </c>
    </row>
    <row r="106" spans="3:11" x14ac:dyDescent="0.25">
      <c r="C106" t="s">
        <v>69</v>
      </c>
      <c r="D106">
        <v>10</v>
      </c>
    </row>
    <row r="107" spans="3:11" x14ac:dyDescent="0.25">
      <c r="C107" t="s">
        <v>70</v>
      </c>
      <c r="D107">
        <v>25</v>
      </c>
    </row>
    <row r="108" spans="3:11" x14ac:dyDescent="0.25">
      <c r="C108" t="s">
        <v>71</v>
      </c>
      <c r="D108">
        <v>50</v>
      </c>
    </row>
    <row r="112" spans="3:11" x14ac:dyDescent="0.25">
      <c r="C112" s="2" t="s">
        <v>72</v>
      </c>
    </row>
    <row r="113" spans="4:6" x14ac:dyDescent="0.25">
      <c r="D113">
        <f t="shared" ref="D113:D135" si="5">D86*B86</f>
        <v>0</v>
      </c>
      <c r="E113">
        <f t="shared" ref="E113:E135" si="6">E86*B86</f>
        <v>0</v>
      </c>
      <c r="F113">
        <f t="shared" ref="F113:F135" si="7">F86*B86</f>
        <v>0</v>
      </c>
    </row>
    <row r="114" spans="4:6" x14ac:dyDescent="0.25">
      <c r="D114">
        <f t="shared" si="5"/>
        <v>0</v>
      </c>
      <c r="E114">
        <f t="shared" si="6"/>
        <v>0</v>
      </c>
      <c r="F114">
        <f t="shared" si="7"/>
        <v>0</v>
      </c>
    </row>
    <row r="115" spans="4:6" x14ac:dyDescent="0.25">
      <c r="D115">
        <f t="shared" si="5"/>
        <v>0</v>
      </c>
      <c r="E115">
        <f t="shared" si="6"/>
        <v>0</v>
      </c>
      <c r="F115">
        <f t="shared" si="7"/>
        <v>0</v>
      </c>
    </row>
    <row r="116" spans="4:6" x14ac:dyDescent="0.25">
      <c r="D116">
        <f t="shared" si="5"/>
        <v>0</v>
      </c>
      <c r="E116">
        <f t="shared" si="6"/>
        <v>0</v>
      </c>
      <c r="F116">
        <f t="shared" si="7"/>
        <v>0</v>
      </c>
    </row>
    <row r="117" spans="4:6" x14ac:dyDescent="0.25">
      <c r="D117">
        <f t="shared" si="5"/>
        <v>0</v>
      </c>
      <c r="E117">
        <f t="shared" si="6"/>
        <v>0</v>
      </c>
      <c r="F117">
        <f t="shared" si="7"/>
        <v>0</v>
      </c>
    </row>
    <row r="118" spans="4:6" x14ac:dyDescent="0.25">
      <c r="D118">
        <f t="shared" si="5"/>
        <v>0</v>
      </c>
      <c r="E118">
        <f t="shared" si="6"/>
        <v>0</v>
      </c>
      <c r="F118">
        <f t="shared" si="7"/>
        <v>0</v>
      </c>
    </row>
    <row r="119" spans="4:6" x14ac:dyDescent="0.25">
      <c r="D119">
        <f t="shared" si="5"/>
        <v>0</v>
      </c>
      <c r="E119">
        <f t="shared" si="6"/>
        <v>0</v>
      </c>
      <c r="F119">
        <f t="shared" si="7"/>
        <v>0</v>
      </c>
    </row>
    <row r="120" spans="4:6" x14ac:dyDescent="0.25">
      <c r="D120">
        <f t="shared" si="5"/>
        <v>0</v>
      </c>
      <c r="E120">
        <f t="shared" si="6"/>
        <v>0</v>
      </c>
      <c r="F120">
        <f t="shared" si="7"/>
        <v>0</v>
      </c>
    </row>
    <row r="121" spans="4:6" x14ac:dyDescent="0.25">
      <c r="D121">
        <f t="shared" si="5"/>
        <v>0</v>
      </c>
      <c r="E121">
        <f t="shared" si="6"/>
        <v>0</v>
      </c>
      <c r="F121">
        <f t="shared" si="7"/>
        <v>0</v>
      </c>
    </row>
    <row r="122" spans="4:6" x14ac:dyDescent="0.25">
      <c r="D122">
        <f t="shared" si="5"/>
        <v>0</v>
      </c>
      <c r="E122">
        <f t="shared" si="6"/>
        <v>0</v>
      </c>
      <c r="F122">
        <f t="shared" si="7"/>
        <v>0</v>
      </c>
    </row>
    <row r="123" spans="4:6" x14ac:dyDescent="0.25">
      <c r="D123">
        <f t="shared" si="5"/>
        <v>0</v>
      </c>
      <c r="E123">
        <f t="shared" si="6"/>
        <v>0</v>
      </c>
      <c r="F123">
        <f t="shared" si="7"/>
        <v>0</v>
      </c>
    </row>
    <row r="124" spans="4:6" x14ac:dyDescent="0.25">
      <c r="D124">
        <f t="shared" si="5"/>
        <v>0</v>
      </c>
      <c r="E124">
        <f t="shared" si="6"/>
        <v>0</v>
      </c>
      <c r="F124">
        <f t="shared" si="7"/>
        <v>0</v>
      </c>
    </row>
    <row r="125" spans="4:6" x14ac:dyDescent="0.25">
      <c r="D125">
        <f t="shared" si="5"/>
        <v>0</v>
      </c>
      <c r="E125">
        <f t="shared" si="6"/>
        <v>0</v>
      </c>
      <c r="F125">
        <f t="shared" si="7"/>
        <v>0</v>
      </c>
    </row>
    <row r="126" spans="4:6" x14ac:dyDescent="0.25">
      <c r="D126">
        <f t="shared" si="5"/>
        <v>0</v>
      </c>
      <c r="E126">
        <f t="shared" si="6"/>
        <v>0</v>
      </c>
      <c r="F126">
        <f t="shared" si="7"/>
        <v>0</v>
      </c>
    </row>
    <row r="127" spans="4:6" x14ac:dyDescent="0.25">
      <c r="D127">
        <f t="shared" si="5"/>
        <v>0</v>
      </c>
      <c r="E127">
        <f t="shared" si="6"/>
        <v>0</v>
      </c>
      <c r="F127">
        <f t="shared" si="7"/>
        <v>0</v>
      </c>
    </row>
    <row r="128" spans="4:6" x14ac:dyDescent="0.25">
      <c r="D128">
        <f t="shared" si="5"/>
        <v>0</v>
      </c>
      <c r="E128">
        <f t="shared" si="6"/>
        <v>0</v>
      </c>
      <c r="F128">
        <f t="shared" si="7"/>
        <v>0</v>
      </c>
    </row>
    <row r="129" spans="3:6" x14ac:dyDescent="0.25">
      <c r="D129">
        <f t="shared" si="5"/>
        <v>0</v>
      </c>
      <c r="E129">
        <f t="shared" si="6"/>
        <v>0</v>
      </c>
      <c r="F129">
        <f t="shared" si="7"/>
        <v>0</v>
      </c>
    </row>
    <row r="130" spans="3:6" x14ac:dyDescent="0.25">
      <c r="D130">
        <f t="shared" si="5"/>
        <v>0</v>
      </c>
      <c r="E130">
        <f t="shared" si="6"/>
        <v>0</v>
      </c>
      <c r="F130">
        <f t="shared" si="7"/>
        <v>0</v>
      </c>
    </row>
    <row r="131" spans="3:6" x14ac:dyDescent="0.25">
      <c r="D131">
        <f t="shared" si="5"/>
        <v>0</v>
      </c>
      <c r="E131">
        <f t="shared" si="6"/>
        <v>0</v>
      </c>
      <c r="F131">
        <f t="shared" si="7"/>
        <v>0</v>
      </c>
    </row>
    <row r="132" spans="3:6" x14ac:dyDescent="0.25">
      <c r="D132">
        <f t="shared" si="5"/>
        <v>0</v>
      </c>
      <c r="E132">
        <f t="shared" si="6"/>
        <v>0</v>
      </c>
      <c r="F132">
        <f t="shared" si="7"/>
        <v>0</v>
      </c>
    </row>
    <row r="133" spans="3:6" x14ac:dyDescent="0.25">
      <c r="D133">
        <f t="shared" si="5"/>
        <v>0</v>
      </c>
      <c r="E133">
        <f t="shared" si="6"/>
        <v>0</v>
      </c>
      <c r="F133">
        <f t="shared" si="7"/>
        <v>0</v>
      </c>
    </row>
    <row r="134" spans="3:6" x14ac:dyDescent="0.25">
      <c r="D134">
        <f t="shared" si="5"/>
        <v>0</v>
      </c>
      <c r="E134">
        <f t="shared" si="6"/>
        <v>0</v>
      </c>
      <c r="F134">
        <f t="shared" si="7"/>
        <v>0</v>
      </c>
    </row>
    <row r="135" spans="3:6" x14ac:dyDescent="0.25">
      <c r="D135">
        <f t="shared" si="5"/>
        <v>0</v>
      </c>
      <c r="E135">
        <f t="shared" si="6"/>
        <v>0</v>
      </c>
      <c r="F135">
        <f t="shared" si="7"/>
        <v>0</v>
      </c>
    </row>
    <row r="136" spans="3:6" x14ac:dyDescent="0.25">
      <c r="C136" s="2" t="s">
        <v>73</v>
      </c>
      <c r="D136">
        <f>SUM(D113:D135)</f>
        <v>0</v>
      </c>
      <c r="E136">
        <f>SUM(E113:E135)</f>
        <v>0</v>
      </c>
      <c r="F136">
        <f>SUM(F113:F135)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AL136"/>
  <sheetViews>
    <sheetView topLeftCell="A31" zoomScaleNormal="100" workbookViewId="0">
      <selection activeCell="L42" sqref="L42:R70"/>
    </sheetView>
  </sheetViews>
  <sheetFormatPr defaultRowHeight="15" x14ac:dyDescent="0.25"/>
  <cols>
    <col min="3" max="3" width="19.5703125" customWidth="1"/>
  </cols>
  <sheetData>
    <row r="3" spans="2:27" x14ac:dyDescent="0.25">
      <c r="B3" t="s">
        <v>291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Q3" t="s">
        <v>236</v>
      </c>
      <c r="R3" t="s">
        <v>4</v>
      </c>
      <c r="U3" t="s">
        <v>5</v>
      </c>
      <c r="X3" t="s">
        <v>134</v>
      </c>
      <c r="Z3" t="s">
        <v>157</v>
      </c>
    </row>
    <row r="4" spans="2:27" x14ac:dyDescent="0.25">
      <c r="B4" t="s">
        <v>6</v>
      </c>
      <c r="C4">
        <v>18</v>
      </c>
      <c r="E4" t="s">
        <v>124</v>
      </c>
      <c r="F4">
        <v>17.000000000000004</v>
      </c>
      <c r="H4" t="s">
        <v>7</v>
      </c>
      <c r="I4">
        <v>571.20000000000005</v>
      </c>
      <c r="J4">
        <v>90</v>
      </c>
      <c r="L4" t="s">
        <v>7</v>
      </c>
      <c r="M4">
        <f>I4+J4*$F$4</f>
        <v>2101.2000000000003</v>
      </c>
      <c r="O4" t="s">
        <v>9</v>
      </c>
      <c r="P4">
        <f>J86+M8</f>
        <v>113.51200000000001</v>
      </c>
      <c r="Q4">
        <v>1</v>
      </c>
      <c r="R4" t="s">
        <v>10</v>
      </c>
      <c r="S4">
        <f>Q4*(4+10/18*C4)</f>
        <v>14</v>
      </c>
      <c r="U4" t="s">
        <v>10</v>
      </c>
      <c r="V4">
        <v>0</v>
      </c>
      <c r="X4">
        <v>1000</v>
      </c>
      <c r="Z4" t="s">
        <v>19</v>
      </c>
      <c r="AA4">
        <f>I9</f>
        <v>0.65800000000000003</v>
      </c>
    </row>
    <row r="5" spans="2:27" x14ac:dyDescent="0.25">
      <c r="H5" t="s">
        <v>120</v>
      </c>
      <c r="I5">
        <v>8.1750000000000007</v>
      </c>
      <c r="J5">
        <v>0.7</v>
      </c>
      <c r="L5" t="s">
        <v>120</v>
      </c>
      <c r="M5">
        <f t="shared" ref="M5:M12" si="0">I5+J5*$F$4</f>
        <v>20.075000000000003</v>
      </c>
      <c r="O5" t="s">
        <v>12</v>
      </c>
      <c r="P5">
        <f>M9+I9*K86</f>
        <v>0.93765000000000009</v>
      </c>
      <c r="R5" t="s">
        <v>13</v>
      </c>
      <c r="S5">
        <v>0</v>
      </c>
      <c r="U5" t="s">
        <v>13</v>
      </c>
      <c r="V5">
        <v>0</v>
      </c>
      <c r="Z5" t="s">
        <v>168</v>
      </c>
      <c r="AA5">
        <f>F4*J9</f>
        <v>0.4250000000000001</v>
      </c>
    </row>
    <row r="6" spans="2:27" x14ac:dyDescent="0.25">
      <c r="H6" t="s">
        <v>121</v>
      </c>
      <c r="I6">
        <v>302.2</v>
      </c>
      <c r="J6">
        <v>40</v>
      </c>
      <c r="L6" t="s">
        <v>121</v>
      </c>
      <c r="M6">
        <f t="shared" si="0"/>
        <v>982.2</v>
      </c>
      <c r="R6" t="s">
        <v>16</v>
      </c>
      <c r="S6">
        <f>J86</f>
        <v>0</v>
      </c>
      <c r="U6" t="s">
        <v>16</v>
      </c>
      <c r="V6">
        <v>0</v>
      </c>
      <c r="Z6" t="s">
        <v>10</v>
      </c>
      <c r="AA6">
        <v>0</v>
      </c>
    </row>
    <row r="7" spans="2:27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I7">
        <v>6.7549999999999999</v>
      </c>
      <c r="J7">
        <v>0.45</v>
      </c>
      <c r="L7" t="s">
        <v>122</v>
      </c>
      <c r="M7">
        <f t="shared" si="0"/>
        <v>14.405000000000001</v>
      </c>
      <c r="O7" t="s">
        <v>7</v>
      </c>
      <c r="P7">
        <f>M4+L20</f>
        <v>4226.2000000000007</v>
      </c>
      <c r="R7" s="2"/>
      <c r="Z7" t="s">
        <v>158</v>
      </c>
      <c r="AA7">
        <v>0.28000000000000003</v>
      </c>
    </row>
    <row r="8" spans="2:27" x14ac:dyDescent="0.25">
      <c r="B8" t="s">
        <v>25</v>
      </c>
      <c r="C8">
        <v>5</v>
      </c>
      <c r="D8">
        <f>25+45*C8</f>
        <v>250</v>
      </c>
      <c r="E8">
        <f>1.2*S8</f>
        <v>16.8</v>
      </c>
      <c r="F8">
        <f>E8+D8</f>
        <v>266.8</v>
      </c>
      <c r="H8" t="s">
        <v>8</v>
      </c>
      <c r="I8">
        <v>55.712000000000003</v>
      </c>
      <c r="J8">
        <v>3.4</v>
      </c>
      <c r="L8" t="s">
        <v>8</v>
      </c>
      <c r="M8">
        <f t="shared" si="0"/>
        <v>113.51200000000001</v>
      </c>
      <c r="O8" t="s">
        <v>120</v>
      </c>
      <c r="P8">
        <f>(M5+M5*M20+N20+V17*0.01)*(1+0.2*B29)</f>
        <v>99.09611000000001</v>
      </c>
      <c r="R8" t="s">
        <v>26</v>
      </c>
      <c r="S8">
        <f>SUM(S4:S7)</f>
        <v>14</v>
      </c>
      <c r="U8" t="s">
        <v>26</v>
      </c>
      <c r="V8">
        <f>SUM(V4:V7)</f>
        <v>0</v>
      </c>
      <c r="Z8" t="s">
        <v>159</v>
      </c>
      <c r="AA8">
        <f>K86</f>
        <v>0</v>
      </c>
    </row>
    <row r="9" spans="2:27" x14ac:dyDescent="0.25">
      <c r="H9" t="s">
        <v>14</v>
      </c>
      <c r="I9">
        <v>0.65800000000000003</v>
      </c>
      <c r="J9">
        <v>2.5000000000000001E-2</v>
      </c>
      <c r="L9" t="s">
        <v>14</v>
      </c>
      <c r="M9">
        <f>I9+I9*J9*$F$4</f>
        <v>0.93765000000000009</v>
      </c>
      <c r="O9" t="s">
        <v>15</v>
      </c>
      <c r="P9">
        <f>M10+J20</f>
        <v>158.24800000000002</v>
      </c>
      <c r="Z9" t="s">
        <v>289</v>
      </c>
      <c r="AA9">
        <f>F15</f>
        <v>0.44</v>
      </c>
    </row>
    <row r="10" spans="2:27" x14ac:dyDescent="0.25">
      <c r="H10" t="s">
        <v>15</v>
      </c>
      <c r="I10">
        <v>27.047999999999998</v>
      </c>
      <c r="J10">
        <v>3.6</v>
      </c>
      <c r="L10" t="s">
        <v>15</v>
      </c>
      <c r="M10">
        <f t="shared" si="0"/>
        <v>88.248000000000019</v>
      </c>
      <c r="O10" t="s">
        <v>23</v>
      </c>
      <c r="P10">
        <f>M11+K20</f>
        <v>173.35000000000002</v>
      </c>
      <c r="R10" t="s">
        <v>31</v>
      </c>
      <c r="S10">
        <f>S8+P4</f>
        <v>127.51200000000001</v>
      </c>
      <c r="U10" t="s">
        <v>32</v>
      </c>
      <c r="V10">
        <v>0</v>
      </c>
      <c r="Z10" t="s">
        <v>160</v>
      </c>
      <c r="AA10">
        <f>(1+SUM(AA5:AA9))*AA4</f>
        <v>1.4114100000000001</v>
      </c>
    </row>
    <row r="11" spans="2:27" x14ac:dyDescent="0.25">
      <c r="B11" t="s">
        <v>29</v>
      </c>
      <c r="C11">
        <v>5</v>
      </c>
      <c r="H11" t="s">
        <v>23</v>
      </c>
      <c r="I11">
        <v>32.1</v>
      </c>
      <c r="J11">
        <v>1.25</v>
      </c>
      <c r="L11" t="s">
        <v>23</v>
      </c>
      <c r="M11">
        <f t="shared" si="0"/>
        <v>53.350000000000009</v>
      </c>
    </row>
    <row r="12" spans="2:27" x14ac:dyDescent="0.25">
      <c r="H12" t="s">
        <v>123</v>
      </c>
      <c r="I12">
        <v>335</v>
      </c>
      <c r="L12" t="s">
        <v>123</v>
      </c>
      <c r="M12">
        <f t="shared" si="0"/>
        <v>335</v>
      </c>
      <c r="O12" t="s">
        <v>91</v>
      </c>
      <c r="R12" t="s">
        <v>86</v>
      </c>
      <c r="U12" t="s">
        <v>88</v>
      </c>
      <c r="X12" t="s">
        <v>95</v>
      </c>
    </row>
    <row r="13" spans="2:27" x14ac:dyDescent="0.25">
      <c r="O13" t="s">
        <v>92</v>
      </c>
      <c r="P13">
        <v>2</v>
      </c>
      <c r="R13" t="s">
        <v>2</v>
      </c>
      <c r="S13">
        <f>M10</f>
        <v>88.248000000000019</v>
      </c>
      <c r="U13" t="s">
        <v>2</v>
      </c>
      <c r="V13">
        <f>M4</f>
        <v>2101.2000000000003</v>
      </c>
      <c r="X13" t="s">
        <v>2</v>
      </c>
      <c r="Y13">
        <f>M11</f>
        <v>53.350000000000009</v>
      </c>
    </row>
    <row r="14" spans="2:27" x14ac:dyDescent="0.25">
      <c r="B14" t="s">
        <v>33</v>
      </c>
      <c r="C14">
        <v>5</v>
      </c>
      <c r="D14">
        <f>15+45*C14</f>
        <v>240</v>
      </c>
      <c r="E14">
        <f>0.8*V10</f>
        <v>0</v>
      </c>
      <c r="F14">
        <f>E14+D14</f>
        <v>240</v>
      </c>
      <c r="O14" t="s">
        <v>93</v>
      </c>
      <c r="P14">
        <v>1</v>
      </c>
      <c r="R14" t="s">
        <v>10</v>
      </c>
      <c r="S14">
        <f>5+2*P15</f>
        <v>5</v>
      </c>
      <c r="U14" t="s">
        <v>16</v>
      </c>
      <c r="V14">
        <f>L20</f>
        <v>2125</v>
      </c>
      <c r="X14" t="s">
        <v>10</v>
      </c>
      <c r="Y14">
        <f>1*P15</f>
        <v>0</v>
      </c>
    </row>
    <row r="15" spans="2:27" x14ac:dyDescent="0.25">
      <c r="D15">
        <f>0.07+0.03*C14</f>
        <v>0.22</v>
      </c>
      <c r="E15">
        <f>D15</f>
        <v>0.22</v>
      </c>
      <c r="F15">
        <f>E15+D15</f>
        <v>0.44</v>
      </c>
      <c r="O15" t="s">
        <v>94</v>
      </c>
      <c r="P15">
        <v>0</v>
      </c>
      <c r="R15" t="s">
        <v>13</v>
      </c>
      <c r="S15">
        <f>P16+P17/18*C4</f>
        <v>9</v>
      </c>
      <c r="U15" t="s">
        <v>10</v>
      </c>
      <c r="V15">
        <f>36+0.03*(V13+V14)*P14</f>
        <v>162.786</v>
      </c>
      <c r="X15" t="s">
        <v>13</v>
      </c>
      <c r="Y15">
        <v>0</v>
      </c>
    </row>
    <row r="16" spans="2:27" x14ac:dyDescent="0.25">
      <c r="B16" t="s">
        <v>34</v>
      </c>
      <c r="C16">
        <v>3</v>
      </c>
      <c r="D16">
        <f>75+125*C16</f>
        <v>450</v>
      </c>
      <c r="E16">
        <f>1.5*S8</f>
        <v>21</v>
      </c>
      <c r="F16">
        <f>E16+D16</f>
        <v>471</v>
      </c>
      <c r="G16" t="s">
        <v>0</v>
      </c>
      <c r="N16" t="s">
        <v>158</v>
      </c>
      <c r="O16" t="s">
        <v>216</v>
      </c>
      <c r="P16">
        <v>9</v>
      </c>
      <c r="R16" t="s">
        <v>16</v>
      </c>
      <c r="S16">
        <f>J20</f>
        <v>70</v>
      </c>
      <c r="X16" t="s">
        <v>16</v>
      </c>
      <c r="Y16">
        <f>K20</f>
        <v>120</v>
      </c>
    </row>
    <row r="17" spans="1:38" x14ac:dyDescent="0.25">
      <c r="O17" t="s">
        <v>217</v>
      </c>
      <c r="P17">
        <v>0</v>
      </c>
      <c r="R17" s="2"/>
      <c r="S17" s="2"/>
      <c r="U17" t="s">
        <v>89</v>
      </c>
      <c r="V17">
        <f>SUM(V13:V15)</f>
        <v>4388.9860000000008</v>
      </c>
    </row>
    <row r="18" spans="1:38" x14ac:dyDescent="0.25">
      <c r="J18" s="2" t="s">
        <v>40</v>
      </c>
      <c r="R18" t="s">
        <v>10</v>
      </c>
      <c r="S18">
        <f>P13*0.025*SUM(S14:S17)</f>
        <v>4.2</v>
      </c>
      <c r="X18" t="s">
        <v>10</v>
      </c>
      <c r="Y18">
        <f>P13*0.025*SUM(Y14:Y17)</f>
        <v>6</v>
      </c>
    </row>
    <row r="19" spans="1:38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</row>
    <row r="20" spans="1:38" x14ac:dyDescent="0.25">
      <c r="C20" t="s">
        <v>74</v>
      </c>
      <c r="F20">
        <v>1000</v>
      </c>
      <c r="J20">
        <f>D81</f>
        <v>70</v>
      </c>
      <c r="K20">
        <f>E81</f>
        <v>120</v>
      </c>
      <c r="L20">
        <f>F81*(1+0.25*B37)</f>
        <v>2125</v>
      </c>
      <c r="M20">
        <f>G81</f>
        <v>1.75</v>
      </c>
      <c r="N20">
        <f>H81</f>
        <v>0</v>
      </c>
      <c r="R20" t="s">
        <v>90</v>
      </c>
      <c r="S20">
        <f>SUM(S13:S18)</f>
        <v>176.44800000000001</v>
      </c>
      <c r="X20" t="s">
        <v>96</v>
      </c>
      <c r="Y20">
        <f>SUM(Y13:Y18)</f>
        <v>179.35000000000002</v>
      </c>
    </row>
    <row r="21" spans="1:38" x14ac:dyDescent="0.25">
      <c r="C21" t="s">
        <v>117</v>
      </c>
      <c r="F21">
        <v>800</v>
      </c>
      <c r="H21">
        <f>V17*0.03</f>
        <v>131.66958000000002</v>
      </c>
    </row>
    <row r="22" spans="1:38" x14ac:dyDescent="0.25">
      <c r="C22" t="s">
        <v>75</v>
      </c>
      <c r="F22">
        <v>700</v>
      </c>
      <c r="R22" t="s">
        <v>98</v>
      </c>
      <c r="S22" t="s">
        <v>99</v>
      </c>
      <c r="U22" t="s">
        <v>100</v>
      </c>
      <c r="V22" t="s">
        <v>101</v>
      </c>
      <c r="W22">
        <v>4.1900000000000004</v>
      </c>
      <c r="X22">
        <v>5.3</v>
      </c>
      <c r="Y22" t="s">
        <v>118</v>
      </c>
      <c r="AB22" t="s">
        <v>280</v>
      </c>
      <c r="AD22" t="s">
        <v>279</v>
      </c>
      <c r="AF22" t="s">
        <v>281</v>
      </c>
      <c r="AH22" t="s">
        <v>282</v>
      </c>
      <c r="AJ22" t="s">
        <v>284</v>
      </c>
      <c r="AL22" t="s">
        <v>283</v>
      </c>
    </row>
    <row r="23" spans="1:38" x14ac:dyDescent="0.25">
      <c r="C23" t="s">
        <v>80</v>
      </c>
      <c r="F23">
        <v>650</v>
      </c>
      <c r="P23" s="2" t="s">
        <v>97</v>
      </c>
      <c r="R23">
        <v>0</v>
      </c>
      <c r="S23">
        <v>0.06</v>
      </c>
      <c r="U23">
        <f>$S$20*(1-S23)-R23</f>
        <v>165.86112</v>
      </c>
      <c r="V23">
        <f>$V$17*(100+U23)/100</f>
        <v>11668.607336243202</v>
      </c>
      <c r="W23">
        <v>20715.592674699998</v>
      </c>
      <c r="X23">
        <v>16960</v>
      </c>
      <c r="Y23">
        <f>($V$17+$B$30*(50+10*$C$4))*(100+U23)/100</f>
        <v>12280.087912243203</v>
      </c>
      <c r="Z23">
        <f>Y23/W23</f>
        <v>0.59279442809478022</v>
      </c>
      <c r="AB23">
        <v>17558</v>
      </c>
      <c r="AD23">
        <v>14874</v>
      </c>
      <c r="AF23">
        <v>19183</v>
      </c>
      <c r="AH23">
        <v>17037</v>
      </c>
      <c r="AJ23">
        <v>17844</v>
      </c>
      <c r="AL23">
        <v>19898</v>
      </c>
    </row>
    <row r="24" spans="1:38" x14ac:dyDescent="0.25">
      <c r="A24">
        <v>1</v>
      </c>
      <c r="B24">
        <v>1</v>
      </c>
      <c r="C24" t="s">
        <v>76</v>
      </c>
      <c r="D24">
        <v>70</v>
      </c>
      <c r="F24">
        <v>500</v>
      </c>
      <c r="J24" s="2"/>
      <c r="L24" s="2"/>
      <c r="R24">
        <v>0</v>
      </c>
      <c r="S24">
        <v>0.38900000000000001</v>
      </c>
      <c r="U24">
        <f>$S$20*(1-S24)-R24</f>
        <v>107.80972800000001</v>
      </c>
      <c r="V24">
        <f>$V$17*(100+U24)/100</f>
        <v>9120.7398685580811</v>
      </c>
      <c r="Y24">
        <f>($V$17+$B$30*(50+10*$C$4))*(100+U24)/100</f>
        <v>9598.7022429580829</v>
      </c>
      <c r="AF24">
        <v>13865</v>
      </c>
    </row>
    <row r="25" spans="1:38" x14ac:dyDescent="0.25">
      <c r="C25" t="s">
        <v>83</v>
      </c>
      <c r="F25">
        <v>500</v>
      </c>
      <c r="G25">
        <v>1</v>
      </c>
      <c r="R25">
        <v>20</v>
      </c>
      <c r="S25">
        <v>0.06</v>
      </c>
      <c r="U25">
        <f>$S$20*(1-S25)-R25</f>
        <v>145.86112</v>
      </c>
      <c r="V25">
        <f>$V$17*(100+U25)/100</f>
        <v>10790.810136243203</v>
      </c>
      <c r="Y25">
        <f>($V$17+$B$30*(50+10*$C$4))*(100+U25)/100</f>
        <v>11356.290712243203</v>
      </c>
    </row>
    <row r="26" spans="1:38" x14ac:dyDescent="0.25">
      <c r="C26" t="s">
        <v>229</v>
      </c>
      <c r="F26">
        <v>500</v>
      </c>
      <c r="R26">
        <v>20</v>
      </c>
      <c r="S26">
        <v>0.38900000000000001</v>
      </c>
      <c r="U26">
        <f>$S$20*(1-S26)-R26</f>
        <v>87.809728000000007</v>
      </c>
      <c r="V26">
        <f>$V$17*(100+U26)/100</f>
        <v>8242.942668558082</v>
      </c>
      <c r="Y26">
        <f>($V$17+$B$30*(50+10*$C$4))*(100+U26)/100</f>
        <v>8674.905042958082</v>
      </c>
      <c r="AB26">
        <v>12268</v>
      </c>
      <c r="AD26">
        <v>10456</v>
      </c>
      <c r="AF26">
        <v>13067</v>
      </c>
      <c r="AH26">
        <v>11842</v>
      </c>
      <c r="AJ26">
        <v>12299</v>
      </c>
      <c r="AL26">
        <v>13524</v>
      </c>
    </row>
    <row r="27" spans="1:38" x14ac:dyDescent="0.25">
      <c r="A27">
        <v>1</v>
      </c>
      <c r="C27" t="s">
        <v>77</v>
      </c>
      <c r="D27">
        <v>45</v>
      </c>
      <c r="F27">
        <v>450</v>
      </c>
      <c r="R27">
        <v>10</v>
      </c>
      <c r="S27">
        <f>1-(1*0.94*0.65*0.75)</f>
        <v>0.54174999999999995</v>
      </c>
      <c r="U27">
        <f>$S$20*(1-S27)-R27</f>
        <v>70.857296000000005</v>
      </c>
      <c r="V27">
        <f>$V$17*(100+U27)/100</f>
        <v>7498.9028014185615</v>
      </c>
      <c r="W27">
        <v>12376.585678916252</v>
      </c>
      <c r="Y27">
        <f>($V$17+$B$30*(50+10*$C$4))*(100+U27)/100</f>
        <v>7891.8745822185629</v>
      </c>
      <c r="Z27">
        <f>Y27/W27</f>
        <v>0.63764553382945677</v>
      </c>
      <c r="AB27">
        <v>10911</v>
      </c>
      <c r="AD27">
        <v>9417</v>
      </c>
      <c r="AF27">
        <v>10998</v>
      </c>
      <c r="AH27">
        <v>10418</v>
      </c>
      <c r="AJ27">
        <v>10626</v>
      </c>
      <c r="AL27">
        <v>11324</v>
      </c>
    </row>
    <row r="28" spans="1:38" x14ac:dyDescent="0.25">
      <c r="A28">
        <v>1</v>
      </c>
      <c r="B28">
        <v>1</v>
      </c>
      <c r="C28" t="s">
        <v>78</v>
      </c>
      <c r="E28">
        <v>55</v>
      </c>
      <c r="F28">
        <v>450</v>
      </c>
      <c r="G28">
        <v>1</v>
      </c>
    </row>
    <row r="29" spans="1:38" x14ac:dyDescent="0.25">
      <c r="A29">
        <v>1</v>
      </c>
      <c r="C29" t="s">
        <v>79</v>
      </c>
      <c r="E29">
        <v>55</v>
      </c>
      <c r="F29">
        <v>400</v>
      </c>
      <c r="G29">
        <v>1</v>
      </c>
    </row>
    <row r="30" spans="1:38" x14ac:dyDescent="0.25">
      <c r="A30">
        <v>1</v>
      </c>
      <c r="B30">
        <v>1</v>
      </c>
      <c r="C30" t="s">
        <v>81</v>
      </c>
      <c r="E30">
        <v>40</v>
      </c>
      <c r="F30">
        <v>400</v>
      </c>
      <c r="G30">
        <v>0.75</v>
      </c>
    </row>
    <row r="31" spans="1:38" x14ac:dyDescent="0.25">
      <c r="C31" t="s">
        <v>82</v>
      </c>
      <c r="F31">
        <v>400</v>
      </c>
      <c r="L31" s="2"/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  <c r="X31">
        <v>5.3</v>
      </c>
    </row>
    <row r="32" spans="1:38" x14ac:dyDescent="0.25">
      <c r="C32" t="s">
        <v>84</v>
      </c>
      <c r="F32">
        <v>380</v>
      </c>
      <c r="R32">
        <v>0</v>
      </c>
      <c r="S32">
        <v>0.06</v>
      </c>
      <c r="U32">
        <f t="shared" ref="U32:U37" si="1">$Y$20*(1-S32)-R32</f>
        <v>168.589</v>
      </c>
      <c r="V32">
        <f t="shared" ref="V32:V37" si="2">$V$17*(100+U32)/100</f>
        <v>11788.333607540002</v>
      </c>
      <c r="W32">
        <v>11332.5147474</v>
      </c>
      <c r="X32">
        <v>14352</v>
      </c>
      <c r="Y32">
        <f t="shared" ref="Y32:Y37" si="3">($V$17+$B$30*(50+10*$C$4))*(100+U32)/100</f>
        <v>12406.088307540002</v>
      </c>
      <c r="Z32">
        <f>Y32/W32</f>
        <v>1.0947339212937102</v>
      </c>
      <c r="AB32">
        <v>13906</v>
      </c>
      <c r="AD32">
        <v>16953</v>
      </c>
      <c r="AF32">
        <v>9143</v>
      </c>
      <c r="AH32">
        <v>13757</v>
      </c>
      <c r="AJ32">
        <v>12546</v>
      </c>
      <c r="AL32">
        <v>10303</v>
      </c>
    </row>
    <row r="33" spans="1:38" x14ac:dyDescent="0.25">
      <c r="C33" t="s">
        <v>278</v>
      </c>
      <c r="D33">
        <v>50</v>
      </c>
      <c r="F33">
        <v>300</v>
      </c>
      <c r="R33">
        <v>0</v>
      </c>
      <c r="S33">
        <v>0.38900000000000001</v>
      </c>
      <c r="U33">
        <f t="shared" si="1"/>
        <v>109.58285000000001</v>
      </c>
      <c r="V33">
        <f t="shared" si="2"/>
        <v>9198.561944901001</v>
      </c>
      <c r="Y33">
        <f t="shared" si="3"/>
        <v>9680.6024999010024</v>
      </c>
    </row>
    <row r="34" spans="1:38" x14ac:dyDescent="0.25">
      <c r="C34" t="s">
        <v>59</v>
      </c>
      <c r="F34">
        <v>250</v>
      </c>
      <c r="R34">
        <v>15</v>
      </c>
      <c r="S34">
        <v>0.06</v>
      </c>
      <c r="U34">
        <f t="shared" si="1"/>
        <v>153.589</v>
      </c>
      <c r="V34">
        <f t="shared" si="2"/>
        <v>11129.985707540001</v>
      </c>
      <c r="Y34">
        <f t="shared" si="3"/>
        <v>11713.240407540003</v>
      </c>
    </row>
    <row r="35" spans="1:38" x14ac:dyDescent="0.25">
      <c r="C35" t="s">
        <v>240</v>
      </c>
      <c r="E35">
        <v>40</v>
      </c>
      <c r="F35">
        <v>200</v>
      </c>
      <c r="R35">
        <v>15</v>
      </c>
      <c r="S35">
        <v>0.38900000000000001</v>
      </c>
      <c r="U35">
        <f t="shared" si="1"/>
        <v>94.582850000000008</v>
      </c>
      <c r="V35">
        <f t="shared" si="2"/>
        <v>8540.2140449010021</v>
      </c>
      <c r="Y35">
        <f t="shared" si="3"/>
        <v>8987.7545999010017</v>
      </c>
      <c r="AB35">
        <v>10179</v>
      </c>
      <c r="AD35">
        <v>12069</v>
      </c>
      <c r="AF35">
        <v>6741</v>
      </c>
      <c r="AH35">
        <v>9966</v>
      </c>
      <c r="AJ35">
        <v>9089</v>
      </c>
      <c r="AL35">
        <v>7484</v>
      </c>
    </row>
    <row r="36" spans="1:38" x14ac:dyDescent="0.25">
      <c r="C36" t="s">
        <v>107</v>
      </c>
      <c r="F36">
        <v>150</v>
      </c>
      <c r="R36">
        <v>30</v>
      </c>
      <c r="S36">
        <v>0.06</v>
      </c>
      <c r="U36">
        <f t="shared" si="1"/>
        <v>138.589</v>
      </c>
      <c r="V36">
        <f t="shared" si="2"/>
        <v>10471.637807540003</v>
      </c>
      <c r="Y36">
        <f t="shared" si="3"/>
        <v>11020.392507540002</v>
      </c>
    </row>
    <row r="37" spans="1:38" x14ac:dyDescent="0.25">
      <c r="B37">
        <v>1</v>
      </c>
      <c r="C37" t="s">
        <v>85</v>
      </c>
      <c r="F37">
        <v>350</v>
      </c>
      <c r="I37">
        <f>(V14+V15)*0.25</f>
        <v>571.94650000000001</v>
      </c>
      <c r="R37">
        <v>30</v>
      </c>
      <c r="S37">
        <v>0.38900000000000001</v>
      </c>
      <c r="U37">
        <f t="shared" si="1"/>
        <v>79.582850000000008</v>
      </c>
      <c r="V37">
        <f t="shared" si="2"/>
        <v>7881.8661449010015</v>
      </c>
      <c r="W37">
        <v>7642.2235858100003</v>
      </c>
      <c r="Y37">
        <f t="shared" si="3"/>
        <v>8294.9066999010029</v>
      </c>
      <c r="Z37">
        <f>Y37/W37</f>
        <v>1.0854048702923189</v>
      </c>
      <c r="AB37">
        <v>9324</v>
      </c>
      <c r="AD37">
        <v>11282</v>
      </c>
      <c r="AF37">
        <v>6142</v>
      </c>
      <c r="AH37">
        <v>9198</v>
      </c>
      <c r="AJ37">
        <v>8389</v>
      </c>
      <c r="AL37">
        <v>6894</v>
      </c>
    </row>
    <row r="38" spans="1:38" x14ac:dyDescent="0.25">
      <c r="C38" t="s">
        <v>115</v>
      </c>
      <c r="F38">
        <v>80</v>
      </c>
      <c r="H38">
        <v>6</v>
      </c>
    </row>
    <row r="39" spans="1:38" x14ac:dyDescent="0.25">
      <c r="C39" t="s">
        <v>106</v>
      </c>
      <c r="D39">
        <v>100</v>
      </c>
      <c r="X39">
        <v>15700</v>
      </c>
      <c r="AA39" t="s">
        <v>285</v>
      </c>
      <c r="AB39">
        <v>14150</v>
      </c>
      <c r="AD39">
        <v>14600</v>
      </c>
      <c r="AF39">
        <v>13600</v>
      </c>
      <c r="AH39">
        <v>14450</v>
      </c>
      <c r="AJ39">
        <v>13950</v>
      </c>
      <c r="AL39">
        <v>14950</v>
      </c>
    </row>
    <row r="40" spans="1:38" x14ac:dyDescent="0.25">
      <c r="C40" t="s">
        <v>105</v>
      </c>
      <c r="D40">
        <v>100</v>
      </c>
      <c r="X40">
        <v>14750</v>
      </c>
    </row>
    <row r="41" spans="1:38" x14ac:dyDescent="0.25">
      <c r="C41" t="s">
        <v>113</v>
      </c>
      <c r="D41">
        <v>50</v>
      </c>
    </row>
    <row r="42" spans="1:38" x14ac:dyDescent="0.25">
      <c r="C42" t="s">
        <v>108</v>
      </c>
      <c r="D42">
        <v>40</v>
      </c>
      <c r="L42" t="s">
        <v>220</v>
      </c>
      <c r="M42">
        <v>2000</v>
      </c>
      <c r="Q42" t="s">
        <v>226</v>
      </c>
      <c r="R42">
        <v>10</v>
      </c>
    </row>
    <row r="43" spans="1:38" x14ac:dyDescent="0.25">
      <c r="A43">
        <v>1</v>
      </c>
      <c r="C43" t="s">
        <v>109</v>
      </c>
      <c r="D43">
        <v>25</v>
      </c>
      <c r="L43" t="s">
        <v>221</v>
      </c>
      <c r="M43">
        <v>2200</v>
      </c>
      <c r="Q43" t="s">
        <v>227</v>
      </c>
      <c r="R43">
        <f>5+1.67/18*B2*9</f>
        <v>5</v>
      </c>
    </row>
    <row r="44" spans="1:38" x14ac:dyDescent="0.25">
      <c r="C44" t="s">
        <v>114</v>
      </c>
      <c r="D44">
        <v>15</v>
      </c>
      <c r="L44" t="s">
        <v>89</v>
      </c>
      <c r="M44">
        <v>4400</v>
      </c>
      <c r="Q44" t="s">
        <v>228</v>
      </c>
      <c r="R44">
        <v>40</v>
      </c>
      <c r="W44" t="s">
        <v>244</v>
      </c>
    </row>
    <row r="45" spans="1:38" x14ac:dyDescent="0.25">
      <c r="C45" t="s">
        <v>116</v>
      </c>
      <c r="E45">
        <v>50</v>
      </c>
      <c r="W45" t="s">
        <v>241</v>
      </c>
    </row>
    <row r="46" spans="1:38" x14ac:dyDescent="0.25">
      <c r="C46" t="s">
        <v>127</v>
      </c>
      <c r="E46">
        <f>3/18*6*C4</f>
        <v>18</v>
      </c>
      <c r="M46" t="s">
        <v>218</v>
      </c>
      <c r="N46" t="s">
        <v>268</v>
      </c>
      <c r="O46" t="s">
        <v>269</v>
      </c>
      <c r="W46" t="s">
        <v>242</v>
      </c>
    </row>
    <row r="47" spans="1:38" x14ac:dyDescent="0.25">
      <c r="C47" t="s">
        <v>119</v>
      </c>
      <c r="D47">
        <v>2</v>
      </c>
      <c r="E47">
        <v>0.9</v>
      </c>
      <c r="F47">
        <v>129</v>
      </c>
      <c r="L47" t="s">
        <v>25</v>
      </c>
      <c r="M47">
        <f>F8</f>
        <v>266.8</v>
      </c>
      <c r="N47">
        <f>11-C8</f>
        <v>6</v>
      </c>
      <c r="O47">
        <f>(1-0.01*$R$44)*N47</f>
        <v>3.5999999999999996</v>
      </c>
      <c r="W47" t="s">
        <v>243</v>
      </c>
    </row>
    <row r="48" spans="1:38" x14ac:dyDescent="0.25">
      <c r="B48">
        <v>1</v>
      </c>
      <c r="C48" t="s">
        <v>110</v>
      </c>
      <c r="E48">
        <v>25</v>
      </c>
      <c r="W48" t="s">
        <v>245</v>
      </c>
    </row>
    <row r="50" spans="3:27" x14ac:dyDescent="0.25">
      <c r="L50" t="s">
        <v>29</v>
      </c>
      <c r="M50">
        <f>F11</f>
        <v>0</v>
      </c>
      <c r="N50">
        <v>1</v>
      </c>
      <c r="O50">
        <f>(1-0.01*$R$44)*N50</f>
        <v>0.6</v>
      </c>
      <c r="W50" t="s">
        <v>246</v>
      </c>
      <c r="AA50" t="s">
        <v>251</v>
      </c>
    </row>
    <row r="51" spans="3:27" x14ac:dyDescent="0.25">
      <c r="C51" s="2" t="s">
        <v>72</v>
      </c>
      <c r="M51">
        <f>F12*M42</f>
        <v>0</v>
      </c>
      <c r="O51">
        <f>O50</f>
        <v>0.6</v>
      </c>
      <c r="W51" t="s">
        <v>247</v>
      </c>
      <c r="AA51" t="s">
        <v>252</v>
      </c>
    </row>
    <row r="52" spans="3:27" x14ac:dyDescent="0.25">
      <c r="D52">
        <f>D20*$B20</f>
        <v>0</v>
      </c>
      <c r="E52">
        <f>E20*$B20</f>
        <v>0</v>
      </c>
      <c r="F52">
        <f>F20*$B20</f>
        <v>0</v>
      </c>
      <c r="G52">
        <f>G20*$B20</f>
        <v>0</v>
      </c>
      <c r="H52">
        <f>H20*$B20</f>
        <v>0</v>
      </c>
      <c r="W52" t="s">
        <v>248</v>
      </c>
      <c r="AA52" t="s">
        <v>253</v>
      </c>
    </row>
    <row r="53" spans="3:27" x14ac:dyDescent="0.25">
      <c r="D53">
        <f t="shared" ref="D53:H68" si="4">D21*$B21</f>
        <v>0</v>
      </c>
      <c r="E53">
        <f t="shared" si="4"/>
        <v>0</v>
      </c>
      <c r="F53">
        <f t="shared" si="4"/>
        <v>0</v>
      </c>
      <c r="G53">
        <f t="shared" si="4"/>
        <v>0</v>
      </c>
      <c r="H53">
        <f t="shared" si="4"/>
        <v>0</v>
      </c>
      <c r="L53" t="s">
        <v>33</v>
      </c>
      <c r="M53">
        <f>F14</f>
        <v>240</v>
      </c>
      <c r="N53">
        <v>13</v>
      </c>
      <c r="O53">
        <f>(1-0.01*$R$44)*N53</f>
        <v>7.8</v>
      </c>
      <c r="W53" t="s">
        <v>249</v>
      </c>
      <c r="AA53" t="s">
        <v>249</v>
      </c>
    </row>
    <row r="54" spans="3:27" x14ac:dyDescent="0.25">
      <c r="D54">
        <f t="shared" si="4"/>
        <v>0</v>
      </c>
      <c r="E54">
        <f t="shared" si="4"/>
        <v>0</v>
      </c>
      <c r="F54">
        <f t="shared" si="4"/>
        <v>0</v>
      </c>
      <c r="G54">
        <f t="shared" si="4"/>
        <v>0</v>
      </c>
      <c r="H54">
        <f t="shared" si="4"/>
        <v>0</v>
      </c>
      <c r="W54" t="s">
        <v>250</v>
      </c>
      <c r="AA54" t="s">
        <v>254</v>
      </c>
    </row>
    <row r="55" spans="3:27" x14ac:dyDescent="0.25">
      <c r="D55">
        <f t="shared" si="4"/>
        <v>0</v>
      </c>
      <c r="E55">
        <f t="shared" si="4"/>
        <v>0</v>
      </c>
      <c r="F55">
        <f t="shared" si="4"/>
        <v>0</v>
      </c>
      <c r="G55">
        <f t="shared" si="4"/>
        <v>0</v>
      </c>
      <c r="H55">
        <f t="shared" si="4"/>
        <v>0</v>
      </c>
      <c r="L55" t="s">
        <v>288</v>
      </c>
      <c r="M55">
        <v>200</v>
      </c>
      <c r="O55">
        <v>6</v>
      </c>
    </row>
    <row r="56" spans="3:27" x14ac:dyDescent="0.25">
      <c r="D56">
        <f t="shared" si="4"/>
        <v>70</v>
      </c>
      <c r="E56">
        <f t="shared" si="4"/>
        <v>0</v>
      </c>
      <c r="F56">
        <f t="shared" si="4"/>
        <v>500</v>
      </c>
      <c r="G56">
        <f t="shared" si="4"/>
        <v>0</v>
      </c>
      <c r="H56">
        <f t="shared" si="4"/>
        <v>0</v>
      </c>
    </row>
    <row r="57" spans="3:27" x14ac:dyDescent="0.25">
      <c r="D57">
        <f t="shared" si="4"/>
        <v>0</v>
      </c>
      <c r="E57">
        <f t="shared" si="4"/>
        <v>0</v>
      </c>
      <c r="F57">
        <f t="shared" si="4"/>
        <v>0</v>
      </c>
      <c r="G57">
        <f t="shared" si="4"/>
        <v>0</v>
      </c>
      <c r="H57">
        <f t="shared" si="4"/>
        <v>0</v>
      </c>
    </row>
    <row r="58" spans="3:27" x14ac:dyDescent="0.25">
      <c r="D58">
        <f t="shared" si="4"/>
        <v>0</v>
      </c>
      <c r="E58">
        <f t="shared" si="4"/>
        <v>0</v>
      </c>
      <c r="F58">
        <f t="shared" si="4"/>
        <v>0</v>
      </c>
      <c r="G58">
        <f t="shared" si="4"/>
        <v>0</v>
      </c>
      <c r="H58">
        <f t="shared" si="4"/>
        <v>0</v>
      </c>
    </row>
    <row r="59" spans="3:27" x14ac:dyDescent="0.25">
      <c r="D59">
        <f t="shared" si="4"/>
        <v>0</v>
      </c>
      <c r="E59">
        <f t="shared" si="4"/>
        <v>0</v>
      </c>
      <c r="F59">
        <f t="shared" si="4"/>
        <v>0</v>
      </c>
      <c r="G59">
        <f t="shared" si="4"/>
        <v>0</v>
      </c>
      <c r="H59">
        <f t="shared" si="4"/>
        <v>0</v>
      </c>
    </row>
    <row r="60" spans="3:27" x14ac:dyDescent="0.25">
      <c r="D60">
        <f t="shared" si="4"/>
        <v>0</v>
      </c>
      <c r="E60">
        <f t="shared" si="4"/>
        <v>55</v>
      </c>
      <c r="F60">
        <f t="shared" si="4"/>
        <v>450</v>
      </c>
      <c r="G60">
        <f t="shared" si="4"/>
        <v>1</v>
      </c>
      <c r="H60">
        <f t="shared" si="4"/>
        <v>0</v>
      </c>
    </row>
    <row r="61" spans="3:27" x14ac:dyDescent="0.25">
      <c r="D61">
        <f t="shared" si="4"/>
        <v>0</v>
      </c>
      <c r="E61">
        <f t="shared" si="4"/>
        <v>0</v>
      </c>
      <c r="F61">
        <f t="shared" si="4"/>
        <v>0</v>
      </c>
      <c r="G61">
        <f t="shared" si="4"/>
        <v>0</v>
      </c>
      <c r="H61">
        <f t="shared" si="4"/>
        <v>0</v>
      </c>
    </row>
    <row r="62" spans="3:27" x14ac:dyDescent="0.25">
      <c r="D62">
        <f t="shared" si="4"/>
        <v>0</v>
      </c>
      <c r="E62">
        <f t="shared" si="4"/>
        <v>40</v>
      </c>
      <c r="F62">
        <f t="shared" si="4"/>
        <v>400</v>
      </c>
      <c r="G62">
        <f t="shared" si="4"/>
        <v>0.75</v>
      </c>
      <c r="H62">
        <f t="shared" si="4"/>
        <v>0</v>
      </c>
      <c r="M62" t="s">
        <v>287</v>
      </c>
      <c r="N62" t="s">
        <v>133</v>
      </c>
    </row>
    <row r="63" spans="3:27" x14ac:dyDescent="0.25">
      <c r="D63">
        <f t="shared" si="4"/>
        <v>0</v>
      </c>
      <c r="E63">
        <f t="shared" si="4"/>
        <v>0</v>
      </c>
      <c r="F63">
        <f t="shared" si="4"/>
        <v>0</v>
      </c>
      <c r="G63">
        <f t="shared" si="4"/>
        <v>0</v>
      </c>
      <c r="H63">
        <f t="shared" si="4"/>
        <v>0</v>
      </c>
      <c r="L63" t="s">
        <v>222</v>
      </c>
      <c r="M63">
        <f>M47</f>
        <v>266.8</v>
      </c>
      <c r="N63">
        <f>M63/O47</f>
        <v>74.111111111111128</v>
      </c>
    </row>
    <row r="64" spans="3:27" x14ac:dyDescent="0.25">
      <c r="D64">
        <f t="shared" si="4"/>
        <v>0</v>
      </c>
      <c r="E64">
        <f t="shared" si="4"/>
        <v>0</v>
      </c>
      <c r="F64">
        <f t="shared" si="4"/>
        <v>0</v>
      </c>
      <c r="G64">
        <f t="shared" si="4"/>
        <v>0</v>
      </c>
      <c r="H64">
        <f t="shared" si="4"/>
        <v>0</v>
      </c>
      <c r="L64" t="s">
        <v>223</v>
      </c>
      <c r="M64">
        <f>M51+M50</f>
        <v>0</v>
      </c>
      <c r="N64">
        <f>M64/O50</f>
        <v>0</v>
      </c>
    </row>
    <row r="65" spans="4:18" x14ac:dyDescent="0.25">
      <c r="D65">
        <f t="shared" si="4"/>
        <v>0</v>
      </c>
      <c r="E65">
        <f t="shared" si="4"/>
        <v>0</v>
      </c>
      <c r="F65">
        <f t="shared" si="4"/>
        <v>0</v>
      </c>
      <c r="G65">
        <f t="shared" si="4"/>
        <v>0</v>
      </c>
      <c r="H65">
        <f t="shared" si="4"/>
        <v>0</v>
      </c>
      <c r="L65" t="s">
        <v>224</v>
      </c>
      <c r="M65">
        <f>M53</f>
        <v>240</v>
      </c>
      <c r="N65">
        <f>M65/O53</f>
        <v>30.76923076923077</v>
      </c>
    </row>
    <row r="66" spans="4:18" x14ac:dyDescent="0.25">
      <c r="D66">
        <f t="shared" si="4"/>
        <v>0</v>
      </c>
      <c r="E66">
        <f t="shared" si="4"/>
        <v>0</v>
      </c>
      <c r="F66">
        <f t="shared" si="4"/>
        <v>0</v>
      </c>
      <c r="G66">
        <f t="shared" si="4"/>
        <v>0</v>
      </c>
      <c r="H66">
        <f t="shared" si="4"/>
        <v>0</v>
      </c>
      <c r="L66" t="s">
        <v>288</v>
      </c>
      <c r="M66">
        <v>200</v>
      </c>
      <c r="N66">
        <f>M66/O55</f>
        <v>33.333333333333336</v>
      </c>
    </row>
    <row r="67" spans="4:18" x14ac:dyDescent="0.25">
      <c r="D67">
        <f t="shared" si="4"/>
        <v>0</v>
      </c>
      <c r="E67">
        <f t="shared" si="4"/>
        <v>0</v>
      </c>
      <c r="F67">
        <f t="shared" si="4"/>
        <v>0</v>
      </c>
      <c r="G67">
        <f t="shared" si="4"/>
        <v>0</v>
      </c>
      <c r="H67">
        <f t="shared" si="4"/>
        <v>0</v>
      </c>
      <c r="L67" t="s">
        <v>233</v>
      </c>
      <c r="M67">
        <f>SUM(M63:M65)</f>
        <v>506.8</v>
      </c>
      <c r="N67">
        <f>SUM(N63:N66)</f>
        <v>138.21367521367523</v>
      </c>
    </row>
    <row r="68" spans="4:18" x14ac:dyDescent="0.25">
      <c r="D68">
        <f t="shared" si="4"/>
        <v>0</v>
      </c>
      <c r="E68">
        <f t="shared" si="4"/>
        <v>0</v>
      </c>
      <c r="F68">
        <f t="shared" si="4"/>
        <v>0</v>
      </c>
      <c r="G68">
        <f t="shared" si="4"/>
        <v>0</v>
      </c>
      <c r="H68">
        <f t="shared" si="4"/>
        <v>0</v>
      </c>
      <c r="L68" t="s">
        <v>239</v>
      </c>
      <c r="N68">
        <f>B37*(24+1.5*C4)</f>
        <v>51</v>
      </c>
    </row>
    <row r="69" spans="4:18" x14ac:dyDescent="0.25">
      <c r="D69">
        <f t="shared" ref="D69:H80" si="5">D37*$B37</f>
        <v>0</v>
      </c>
      <c r="E69">
        <f t="shared" si="5"/>
        <v>0</v>
      </c>
      <c r="F69">
        <f t="shared" si="5"/>
        <v>350</v>
      </c>
      <c r="G69">
        <f t="shared" si="5"/>
        <v>0</v>
      </c>
      <c r="H69">
        <f t="shared" si="5"/>
        <v>0</v>
      </c>
      <c r="L69" t="s">
        <v>232</v>
      </c>
      <c r="N69">
        <f>K97</f>
        <v>179.97171192000002</v>
      </c>
    </row>
    <row r="70" spans="4:18" x14ac:dyDescent="0.25">
      <c r="D70">
        <f t="shared" si="5"/>
        <v>0</v>
      </c>
      <c r="E70">
        <f t="shared" si="5"/>
        <v>0</v>
      </c>
      <c r="F70">
        <f t="shared" si="5"/>
        <v>0</v>
      </c>
      <c r="G70">
        <f t="shared" si="5"/>
        <v>0</v>
      </c>
      <c r="H70">
        <f t="shared" si="5"/>
        <v>0</v>
      </c>
      <c r="L70" t="s">
        <v>234</v>
      </c>
      <c r="N70" s="2">
        <f>N69+N67+N68</f>
        <v>369.18538713367525</v>
      </c>
      <c r="R70" s="2"/>
    </row>
    <row r="71" spans="4:18" x14ac:dyDescent="0.25">
      <c r="D71">
        <f t="shared" si="5"/>
        <v>0</v>
      </c>
      <c r="E71">
        <f t="shared" si="5"/>
        <v>0</v>
      </c>
      <c r="F71">
        <f t="shared" si="5"/>
        <v>0</v>
      </c>
      <c r="G71">
        <f t="shared" si="5"/>
        <v>0</v>
      </c>
      <c r="H71">
        <f t="shared" si="5"/>
        <v>0</v>
      </c>
    </row>
    <row r="72" spans="4:18" x14ac:dyDescent="0.25">
      <c r="D72">
        <f t="shared" si="5"/>
        <v>0</v>
      </c>
      <c r="E72">
        <f t="shared" si="5"/>
        <v>0</v>
      </c>
      <c r="F72">
        <f t="shared" si="5"/>
        <v>0</v>
      </c>
      <c r="G72">
        <f t="shared" si="5"/>
        <v>0</v>
      </c>
      <c r="H72">
        <f t="shared" si="5"/>
        <v>0</v>
      </c>
    </row>
    <row r="73" spans="4:18" x14ac:dyDescent="0.25">
      <c r="D73">
        <f t="shared" si="5"/>
        <v>0</v>
      </c>
      <c r="E73">
        <f t="shared" si="5"/>
        <v>0</v>
      </c>
      <c r="F73">
        <f t="shared" si="5"/>
        <v>0</v>
      </c>
      <c r="G73">
        <f t="shared" si="5"/>
        <v>0</v>
      </c>
      <c r="H73">
        <f t="shared" si="5"/>
        <v>0</v>
      </c>
    </row>
    <row r="74" spans="4:18" x14ac:dyDescent="0.25">
      <c r="D74">
        <f t="shared" si="5"/>
        <v>0</v>
      </c>
      <c r="E74">
        <f t="shared" si="5"/>
        <v>0</v>
      </c>
      <c r="F74">
        <f t="shared" si="5"/>
        <v>0</v>
      </c>
      <c r="G74">
        <f t="shared" si="5"/>
        <v>0</v>
      </c>
      <c r="H74">
        <f t="shared" si="5"/>
        <v>0</v>
      </c>
    </row>
    <row r="75" spans="4:18" x14ac:dyDescent="0.25">
      <c r="D75">
        <f t="shared" si="5"/>
        <v>0</v>
      </c>
      <c r="E75">
        <f t="shared" si="5"/>
        <v>0</v>
      </c>
      <c r="F75">
        <f t="shared" si="5"/>
        <v>0</v>
      </c>
      <c r="G75">
        <f t="shared" si="5"/>
        <v>0</v>
      </c>
      <c r="H75">
        <f t="shared" si="5"/>
        <v>0</v>
      </c>
    </row>
    <row r="76" spans="4:18" x14ac:dyDescent="0.25">
      <c r="D76">
        <f t="shared" si="5"/>
        <v>0</v>
      </c>
      <c r="E76">
        <f t="shared" si="5"/>
        <v>0</v>
      </c>
      <c r="F76">
        <f t="shared" si="5"/>
        <v>0</v>
      </c>
      <c r="G76">
        <f t="shared" si="5"/>
        <v>0</v>
      </c>
      <c r="H76">
        <f t="shared" si="5"/>
        <v>0</v>
      </c>
    </row>
    <row r="77" spans="4:18" x14ac:dyDescent="0.25">
      <c r="D77">
        <f t="shared" si="5"/>
        <v>0</v>
      </c>
      <c r="E77">
        <f t="shared" si="5"/>
        <v>0</v>
      </c>
      <c r="F77">
        <f t="shared" si="5"/>
        <v>0</v>
      </c>
      <c r="G77">
        <f t="shared" si="5"/>
        <v>0</v>
      </c>
      <c r="H77">
        <f t="shared" si="5"/>
        <v>0</v>
      </c>
    </row>
    <row r="78" spans="4:18" x14ac:dyDescent="0.25">
      <c r="D78">
        <f t="shared" si="5"/>
        <v>0</v>
      </c>
      <c r="E78">
        <f t="shared" si="5"/>
        <v>0</v>
      </c>
      <c r="F78">
        <f t="shared" si="5"/>
        <v>0</v>
      </c>
      <c r="G78">
        <f t="shared" si="5"/>
        <v>0</v>
      </c>
      <c r="H78">
        <f t="shared" si="5"/>
        <v>0</v>
      </c>
    </row>
    <row r="79" spans="4:18" x14ac:dyDescent="0.25">
      <c r="D79">
        <f t="shared" si="5"/>
        <v>0</v>
      </c>
      <c r="E79">
        <f t="shared" si="5"/>
        <v>0</v>
      </c>
      <c r="F79">
        <f t="shared" si="5"/>
        <v>0</v>
      </c>
      <c r="G79">
        <f t="shared" si="5"/>
        <v>0</v>
      </c>
      <c r="H79">
        <f t="shared" si="5"/>
        <v>0</v>
      </c>
    </row>
    <row r="80" spans="4:18" x14ac:dyDescent="0.25">
      <c r="D80">
        <f t="shared" si="5"/>
        <v>0</v>
      </c>
      <c r="E80">
        <f t="shared" si="5"/>
        <v>25</v>
      </c>
      <c r="F80">
        <f t="shared" si="5"/>
        <v>0</v>
      </c>
      <c r="G80">
        <f t="shared" si="5"/>
        <v>0</v>
      </c>
      <c r="H80">
        <f t="shared" si="5"/>
        <v>0</v>
      </c>
    </row>
    <row r="81" spans="2:22" x14ac:dyDescent="0.25">
      <c r="C81" s="2" t="s">
        <v>73</v>
      </c>
      <c r="D81">
        <f>SUM(D52:D80)</f>
        <v>70</v>
      </c>
      <c r="E81">
        <f>SUM(E52:E80)</f>
        <v>120</v>
      </c>
      <c r="F81">
        <f>SUM(F52:F80)</f>
        <v>1700</v>
      </c>
      <c r="G81">
        <f>SUM(G52:G80)</f>
        <v>1.75</v>
      </c>
      <c r="H81">
        <f>SUM(H52:H80)</f>
        <v>0</v>
      </c>
      <c r="R81" t="s">
        <v>255</v>
      </c>
      <c r="T81" t="s">
        <v>256</v>
      </c>
      <c r="U81" t="s">
        <v>258</v>
      </c>
      <c r="V81" t="s">
        <v>259</v>
      </c>
    </row>
    <row r="82" spans="2:22" x14ac:dyDescent="0.25">
      <c r="R82">
        <f>S20</f>
        <v>176.44800000000001</v>
      </c>
      <c r="S82">
        <f>100/(100+S20)</f>
        <v>0.36173168190762822</v>
      </c>
    </row>
    <row r="83" spans="2:22" x14ac:dyDescent="0.25">
      <c r="Q83" t="s">
        <v>257</v>
      </c>
      <c r="S83">
        <f>S82*0.9</f>
        <v>0.32555851371686539</v>
      </c>
      <c r="T83">
        <f>100/S83-100</f>
        <v>207.16444444444443</v>
      </c>
      <c r="U83">
        <f>T83-R82</f>
        <v>30.71644444444442</v>
      </c>
    </row>
    <row r="84" spans="2:22" x14ac:dyDescent="0.25">
      <c r="L84" s="2" t="s">
        <v>41</v>
      </c>
      <c r="Q84" t="s">
        <v>259</v>
      </c>
      <c r="S84">
        <f>S83*0.85</f>
        <v>0.27672473665933556</v>
      </c>
      <c r="T84">
        <f>100/S84-100</f>
        <v>261.3699346405229</v>
      </c>
      <c r="V84">
        <f>T84-T83</f>
        <v>54.205490196078472</v>
      </c>
    </row>
    <row r="85" spans="2:22" x14ac:dyDescent="0.25">
      <c r="B85" s="2" t="s">
        <v>35</v>
      </c>
      <c r="C85" s="2" t="s">
        <v>36</v>
      </c>
      <c r="D85" s="2" t="s">
        <v>37</v>
      </c>
      <c r="E85" s="2" t="s">
        <v>38</v>
      </c>
      <c r="F85" s="2" t="s">
        <v>39</v>
      </c>
      <c r="I85" s="2" t="s">
        <v>40</v>
      </c>
      <c r="J85" s="2" t="s">
        <v>37</v>
      </c>
      <c r="K85" s="2" t="s">
        <v>38</v>
      </c>
      <c r="L85">
        <f>F136</f>
        <v>0</v>
      </c>
    </row>
    <row r="86" spans="2:22" x14ac:dyDescent="0.25">
      <c r="C86" t="s">
        <v>43</v>
      </c>
      <c r="D86">
        <v>80</v>
      </c>
      <c r="E86">
        <v>0</v>
      </c>
      <c r="F86">
        <v>0.25</v>
      </c>
      <c r="J86">
        <f>D136</f>
        <v>0</v>
      </c>
      <c r="K86">
        <f>E136</f>
        <v>0</v>
      </c>
    </row>
    <row r="87" spans="2:22" x14ac:dyDescent="0.25">
      <c r="C87" t="s">
        <v>44</v>
      </c>
      <c r="D87">
        <v>0</v>
      </c>
      <c r="E87">
        <v>0.5</v>
      </c>
      <c r="F87">
        <v>0.3</v>
      </c>
    </row>
    <row r="88" spans="2:22" x14ac:dyDescent="0.25">
      <c r="C88" t="s">
        <v>45</v>
      </c>
      <c r="E88">
        <v>0.4</v>
      </c>
      <c r="F88">
        <v>0.2</v>
      </c>
      <c r="I88" t="s">
        <v>12</v>
      </c>
      <c r="K88">
        <f>AA10</f>
        <v>1.4114100000000001</v>
      </c>
    </row>
    <row r="89" spans="2:22" x14ac:dyDescent="0.25">
      <c r="C89" t="s">
        <v>46</v>
      </c>
      <c r="D89">
        <v>40</v>
      </c>
      <c r="E89">
        <v>0</v>
      </c>
      <c r="F89">
        <v>0</v>
      </c>
    </row>
    <row r="90" spans="2:22" x14ac:dyDescent="0.25">
      <c r="C90" t="s">
        <v>47</v>
      </c>
      <c r="D90">
        <v>80</v>
      </c>
      <c r="E90">
        <v>0</v>
      </c>
      <c r="F90">
        <v>0</v>
      </c>
      <c r="I90" t="s">
        <v>48</v>
      </c>
      <c r="K90">
        <v>2.5</v>
      </c>
    </row>
    <row r="91" spans="2:22" x14ac:dyDescent="0.25">
      <c r="C91" t="s">
        <v>49</v>
      </c>
      <c r="D91">
        <v>80</v>
      </c>
    </row>
    <row r="92" spans="2:22" x14ac:dyDescent="0.25">
      <c r="C92" t="s">
        <v>50</v>
      </c>
      <c r="D92">
        <v>7</v>
      </c>
      <c r="I92" t="s">
        <v>51</v>
      </c>
      <c r="K92">
        <f>S10</f>
        <v>127.51200000000001</v>
      </c>
    </row>
    <row r="93" spans="2:22" x14ac:dyDescent="0.25">
      <c r="C93" t="s">
        <v>52</v>
      </c>
      <c r="D93">
        <v>25</v>
      </c>
      <c r="E93">
        <v>0.5</v>
      </c>
      <c r="I93" t="s">
        <v>53</v>
      </c>
      <c r="K93">
        <f>K92*(1+1.5*L85)</f>
        <v>127.51200000000001</v>
      </c>
    </row>
    <row r="94" spans="2:22" x14ac:dyDescent="0.25">
      <c r="C94" t="s">
        <v>54</v>
      </c>
      <c r="D94">
        <v>40</v>
      </c>
      <c r="E94">
        <v>0.4</v>
      </c>
      <c r="F94">
        <v>0</v>
      </c>
      <c r="I94" t="s">
        <v>55</v>
      </c>
      <c r="K94">
        <f>K92*IF(B86,2.5,2)</f>
        <v>255.02400000000003</v>
      </c>
    </row>
    <row r="95" spans="2:22" x14ac:dyDescent="0.25">
      <c r="C95" t="s">
        <v>56</v>
      </c>
      <c r="D95">
        <v>30</v>
      </c>
      <c r="E95">
        <v>0</v>
      </c>
      <c r="F95">
        <v>0.15</v>
      </c>
    </row>
    <row r="96" spans="2:22" x14ac:dyDescent="0.25">
      <c r="C96" t="s">
        <v>57</v>
      </c>
      <c r="E96">
        <v>0.2</v>
      </c>
      <c r="I96" t="s">
        <v>58</v>
      </c>
      <c r="K96">
        <f>S10*K88</f>
        <v>179.97171192000002</v>
      </c>
    </row>
    <row r="97" spans="3:11" x14ac:dyDescent="0.25">
      <c r="C97" t="s">
        <v>59</v>
      </c>
      <c r="D97">
        <v>30</v>
      </c>
      <c r="E97">
        <v>0.3</v>
      </c>
      <c r="F97">
        <v>0.1</v>
      </c>
      <c r="I97" t="s">
        <v>60</v>
      </c>
      <c r="K97">
        <f>K96*(1+1.5*L85)</f>
        <v>179.97171192000002</v>
      </c>
    </row>
    <row r="98" spans="3:11" x14ac:dyDescent="0.25">
      <c r="C98" t="s">
        <v>61</v>
      </c>
      <c r="D98">
        <v>20</v>
      </c>
    </row>
    <row r="99" spans="3:11" x14ac:dyDescent="0.25">
      <c r="C99" t="s">
        <v>62</v>
      </c>
      <c r="D99">
        <v>60</v>
      </c>
    </row>
    <row r="100" spans="3:11" x14ac:dyDescent="0.25">
      <c r="C100" t="s">
        <v>63</v>
      </c>
      <c r="D100">
        <v>25</v>
      </c>
    </row>
    <row r="101" spans="3:11" x14ac:dyDescent="0.25">
      <c r="C101" t="s">
        <v>64</v>
      </c>
      <c r="D101">
        <v>50</v>
      </c>
    </row>
    <row r="102" spans="3:11" x14ac:dyDescent="0.25">
      <c r="C102" t="s">
        <v>65</v>
      </c>
      <c r="D102">
        <v>25</v>
      </c>
    </row>
    <row r="103" spans="3:11" x14ac:dyDescent="0.25">
      <c r="C103" t="s">
        <v>66</v>
      </c>
      <c r="D103">
        <v>25</v>
      </c>
    </row>
    <row r="104" spans="3:11" x14ac:dyDescent="0.25">
      <c r="C104" t="s">
        <v>67</v>
      </c>
      <c r="D104">
        <v>40</v>
      </c>
    </row>
    <row r="105" spans="3:11" x14ac:dyDescent="0.25">
      <c r="C105" t="s">
        <v>68</v>
      </c>
      <c r="D105">
        <v>75</v>
      </c>
    </row>
    <row r="106" spans="3:11" x14ac:dyDescent="0.25">
      <c r="C106" t="s">
        <v>69</v>
      </c>
      <c r="D106">
        <v>10</v>
      </c>
    </row>
    <row r="107" spans="3:11" x14ac:dyDescent="0.25">
      <c r="C107" t="s">
        <v>70</v>
      </c>
      <c r="D107">
        <v>25</v>
      </c>
    </row>
    <row r="108" spans="3:11" x14ac:dyDescent="0.25">
      <c r="C108" t="s">
        <v>71</v>
      </c>
      <c r="D108">
        <v>50</v>
      </c>
    </row>
    <row r="112" spans="3:11" x14ac:dyDescent="0.25">
      <c r="C112" s="2" t="s">
        <v>72</v>
      </c>
    </row>
    <row r="113" spans="4:6" x14ac:dyDescent="0.25">
      <c r="D113">
        <f t="shared" ref="D113:D135" si="6">D86*B86</f>
        <v>0</v>
      </c>
      <c r="E113">
        <f t="shared" ref="E113:E135" si="7">E86*B86</f>
        <v>0</v>
      </c>
      <c r="F113">
        <f t="shared" ref="F113:F135" si="8">F86*B86</f>
        <v>0</v>
      </c>
    </row>
    <row r="114" spans="4:6" x14ac:dyDescent="0.25">
      <c r="D114">
        <f t="shared" si="6"/>
        <v>0</v>
      </c>
      <c r="E114">
        <f t="shared" si="7"/>
        <v>0</v>
      </c>
      <c r="F114">
        <f t="shared" si="8"/>
        <v>0</v>
      </c>
    </row>
    <row r="115" spans="4:6" x14ac:dyDescent="0.25">
      <c r="D115">
        <f t="shared" si="6"/>
        <v>0</v>
      </c>
      <c r="E115">
        <f t="shared" si="7"/>
        <v>0</v>
      </c>
      <c r="F115">
        <f t="shared" si="8"/>
        <v>0</v>
      </c>
    </row>
    <row r="116" spans="4:6" x14ac:dyDescent="0.25">
      <c r="D116">
        <f t="shared" si="6"/>
        <v>0</v>
      </c>
      <c r="E116">
        <f t="shared" si="7"/>
        <v>0</v>
      </c>
      <c r="F116">
        <f t="shared" si="8"/>
        <v>0</v>
      </c>
    </row>
    <row r="117" spans="4:6" x14ac:dyDescent="0.25">
      <c r="D117">
        <f t="shared" si="6"/>
        <v>0</v>
      </c>
      <c r="E117">
        <f t="shared" si="7"/>
        <v>0</v>
      </c>
      <c r="F117">
        <f t="shared" si="8"/>
        <v>0</v>
      </c>
    </row>
    <row r="118" spans="4:6" x14ac:dyDescent="0.25">
      <c r="D118">
        <f t="shared" si="6"/>
        <v>0</v>
      </c>
      <c r="E118">
        <f t="shared" si="7"/>
        <v>0</v>
      </c>
      <c r="F118">
        <f t="shared" si="8"/>
        <v>0</v>
      </c>
    </row>
    <row r="119" spans="4:6" x14ac:dyDescent="0.25">
      <c r="D119">
        <f t="shared" si="6"/>
        <v>0</v>
      </c>
      <c r="E119">
        <f t="shared" si="7"/>
        <v>0</v>
      </c>
      <c r="F119">
        <f t="shared" si="8"/>
        <v>0</v>
      </c>
    </row>
    <row r="120" spans="4:6" x14ac:dyDescent="0.25">
      <c r="D120">
        <f t="shared" si="6"/>
        <v>0</v>
      </c>
      <c r="E120">
        <f t="shared" si="7"/>
        <v>0</v>
      </c>
      <c r="F120">
        <f t="shared" si="8"/>
        <v>0</v>
      </c>
    </row>
    <row r="121" spans="4:6" x14ac:dyDescent="0.25">
      <c r="D121">
        <f t="shared" si="6"/>
        <v>0</v>
      </c>
      <c r="E121">
        <f t="shared" si="7"/>
        <v>0</v>
      </c>
      <c r="F121">
        <f t="shared" si="8"/>
        <v>0</v>
      </c>
    </row>
    <row r="122" spans="4:6" x14ac:dyDescent="0.25">
      <c r="D122">
        <f t="shared" si="6"/>
        <v>0</v>
      </c>
      <c r="E122">
        <f t="shared" si="7"/>
        <v>0</v>
      </c>
      <c r="F122">
        <f t="shared" si="8"/>
        <v>0</v>
      </c>
    </row>
    <row r="123" spans="4:6" x14ac:dyDescent="0.25">
      <c r="D123">
        <f t="shared" si="6"/>
        <v>0</v>
      </c>
      <c r="E123">
        <f t="shared" si="7"/>
        <v>0</v>
      </c>
      <c r="F123">
        <f t="shared" si="8"/>
        <v>0</v>
      </c>
    </row>
    <row r="124" spans="4:6" x14ac:dyDescent="0.25">
      <c r="D124">
        <f t="shared" si="6"/>
        <v>0</v>
      </c>
      <c r="E124">
        <f t="shared" si="7"/>
        <v>0</v>
      </c>
      <c r="F124">
        <f t="shared" si="8"/>
        <v>0</v>
      </c>
    </row>
    <row r="125" spans="4:6" x14ac:dyDescent="0.25">
      <c r="D125">
        <f t="shared" si="6"/>
        <v>0</v>
      </c>
      <c r="E125">
        <f t="shared" si="7"/>
        <v>0</v>
      </c>
      <c r="F125">
        <f t="shared" si="8"/>
        <v>0</v>
      </c>
    </row>
    <row r="126" spans="4:6" x14ac:dyDescent="0.25">
      <c r="D126">
        <f t="shared" si="6"/>
        <v>0</v>
      </c>
      <c r="E126">
        <f t="shared" si="7"/>
        <v>0</v>
      </c>
      <c r="F126">
        <f t="shared" si="8"/>
        <v>0</v>
      </c>
    </row>
    <row r="127" spans="4:6" x14ac:dyDescent="0.25">
      <c r="D127">
        <f t="shared" si="6"/>
        <v>0</v>
      </c>
      <c r="E127">
        <f t="shared" si="7"/>
        <v>0</v>
      </c>
      <c r="F127">
        <f t="shared" si="8"/>
        <v>0</v>
      </c>
    </row>
    <row r="128" spans="4:6" x14ac:dyDescent="0.25">
      <c r="D128">
        <f t="shared" si="6"/>
        <v>0</v>
      </c>
      <c r="E128">
        <f t="shared" si="7"/>
        <v>0</v>
      </c>
      <c r="F128">
        <f t="shared" si="8"/>
        <v>0</v>
      </c>
    </row>
    <row r="129" spans="3:6" x14ac:dyDescent="0.25">
      <c r="D129">
        <f t="shared" si="6"/>
        <v>0</v>
      </c>
      <c r="E129">
        <f t="shared" si="7"/>
        <v>0</v>
      </c>
      <c r="F129">
        <f t="shared" si="8"/>
        <v>0</v>
      </c>
    </row>
    <row r="130" spans="3:6" x14ac:dyDescent="0.25">
      <c r="D130">
        <f t="shared" si="6"/>
        <v>0</v>
      </c>
      <c r="E130">
        <f t="shared" si="7"/>
        <v>0</v>
      </c>
      <c r="F130">
        <f t="shared" si="8"/>
        <v>0</v>
      </c>
    </row>
    <row r="131" spans="3:6" x14ac:dyDescent="0.25">
      <c r="D131">
        <f t="shared" si="6"/>
        <v>0</v>
      </c>
      <c r="E131">
        <f t="shared" si="7"/>
        <v>0</v>
      </c>
      <c r="F131">
        <f t="shared" si="8"/>
        <v>0</v>
      </c>
    </row>
    <row r="132" spans="3:6" x14ac:dyDescent="0.25">
      <c r="D132">
        <f t="shared" si="6"/>
        <v>0</v>
      </c>
      <c r="E132">
        <f t="shared" si="7"/>
        <v>0</v>
      </c>
      <c r="F132">
        <f t="shared" si="8"/>
        <v>0</v>
      </c>
    </row>
    <row r="133" spans="3:6" x14ac:dyDescent="0.25">
      <c r="D133">
        <f t="shared" si="6"/>
        <v>0</v>
      </c>
      <c r="E133">
        <f t="shared" si="7"/>
        <v>0</v>
      </c>
      <c r="F133">
        <f t="shared" si="8"/>
        <v>0</v>
      </c>
    </row>
    <row r="134" spans="3:6" x14ac:dyDescent="0.25">
      <c r="D134">
        <f t="shared" si="6"/>
        <v>0</v>
      </c>
      <c r="E134">
        <f t="shared" si="7"/>
        <v>0</v>
      </c>
      <c r="F134">
        <f t="shared" si="8"/>
        <v>0</v>
      </c>
    </row>
    <row r="135" spans="3:6" x14ac:dyDescent="0.25">
      <c r="D135">
        <f t="shared" si="6"/>
        <v>0</v>
      </c>
      <c r="E135">
        <f t="shared" si="7"/>
        <v>0</v>
      </c>
      <c r="F135">
        <f t="shared" si="8"/>
        <v>0</v>
      </c>
    </row>
    <row r="136" spans="3:6" x14ac:dyDescent="0.25">
      <c r="C136" s="2" t="s">
        <v>73</v>
      </c>
      <c r="D136">
        <f>SUM(D113:D135)</f>
        <v>0</v>
      </c>
      <c r="E136">
        <f>SUM(E113:E135)</f>
        <v>0</v>
      </c>
      <c r="F136">
        <f>SUM(F113:F135)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Y118"/>
  <sheetViews>
    <sheetView workbookViewId="0">
      <selection activeCell="C4" sqref="C4"/>
    </sheetView>
  </sheetViews>
  <sheetFormatPr defaultRowHeight="15" x14ac:dyDescent="0.25"/>
  <cols>
    <col min="3" max="3" width="19.5703125" customWidth="1"/>
  </cols>
  <sheetData>
    <row r="3" spans="2:25" x14ac:dyDescent="0.25">
      <c r="B3" t="s">
        <v>111</v>
      </c>
      <c r="C3" t="s">
        <v>0</v>
      </c>
      <c r="I3" t="s">
        <v>1</v>
      </c>
      <c r="L3" t="s">
        <v>2</v>
      </c>
      <c r="O3" s="1" t="s">
        <v>3</v>
      </c>
      <c r="R3" t="s">
        <v>4</v>
      </c>
      <c r="U3" t="s">
        <v>5</v>
      </c>
    </row>
    <row r="4" spans="2:25" x14ac:dyDescent="0.25">
      <c r="B4" t="s">
        <v>6</v>
      </c>
      <c r="C4">
        <v>8</v>
      </c>
      <c r="I4" t="s">
        <v>8</v>
      </c>
      <c r="J4">
        <v>53.3</v>
      </c>
      <c r="L4" t="s">
        <v>9</v>
      </c>
      <c r="M4">
        <f>J4+C4*J5</f>
        <v>81.3</v>
      </c>
      <c r="O4" t="s">
        <v>9</v>
      </c>
      <c r="P4">
        <f>J68+M4</f>
        <v>81.3</v>
      </c>
      <c r="R4" t="s">
        <v>10</v>
      </c>
      <c r="S4">
        <f>4+0.55*C4</f>
        <v>8.4</v>
      </c>
      <c r="U4" t="s">
        <v>10</v>
      </c>
      <c r="V4">
        <v>0</v>
      </c>
    </row>
    <row r="5" spans="2:25" x14ac:dyDescent="0.25">
      <c r="I5" t="s">
        <v>11</v>
      </c>
      <c r="J5">
        <v>3.5</v>
      </c>
      <c r="L5" t="s">
        <v>12</v>
      </c>
      <c r="M5">
        <f>J6*(1+(C4-1)*J7)</f>
        <v>0.79341680000000003</v>
      </c>
      <c r="O5" t="s">
        <v>12</v>
      </c>
      <c r="P5">
        <f>J6*(1+J7*C4+E118)</f>
        <v>0.81561919999999999</v>
      </c>
      <c r="R5" t="s">
        <v>13</v>
      </c>
      <c r="S5">
        <v>15.3</v>
      </c>
      <c r="U5" t="s">
        <v>13</v>
      </c>
      <c r="V5">
        <v>0</v>
      </c>
    </row>
    <row r="6" spans="2:25" x14ac:dyDescent="0.25">
      <c r="I6" t="s">
        <v>14</v>
      </c>
      <c r="J6">
        <v>0.63800000000000001</v>
      </c>
      <c r="L6" t="s">
        <v>15</v>
      </c>
      <c r="M6">
        <f>J8+J9*C4</f>
        <v>48.5</v>
      </c>
      <c r="R6" t="s">
        <v>16</v>
      </c>
      <c r="S6">
        <f>J68</f>
        <v>0</v>
      </c>
      <c r="U6" t="s">
        <v>16</v>
      </c>
      <c r="V6">
        <v>0</v>
      </c>
    </row>
    <row r="7" spans="2:25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I7" t="s">
        <v>22</v>
      </c>
      <c r="J7">
        <v>3.4799999999999998E-2</v>
      </c>
      <c r="L7" t="s">
        <v>23</v>
      </c>
      <c r="M7">
        <f>30+1.25*C4</f>
        <v>40</v>
      </c>
      <c r="O7" t="s">
        <v>7</v>
      </c>
      <c r="P7">
        <f>J12+L20</f>
        <v>2630</v>
      </c>
      <c r="R7" s="2" t="s">
        <v>24</v>
      </c>
      <c r="S7">
        <f>10+5*C10</f>
        <v>15</v>
      </c>
    </row>
    <row r="8" spans="2:25" x14ac:dyDescent="0.25">
      <c r="B8" t="s">
        <v>25</v>
      </c>
      <c r="C8">
        <v>1</v>
      </c>
      <c r="I8" t="s">
        <v>15</v>
      </c>
      <c r="J8">
        <v>24.5</v>
      </c>
      <c r="O8" t="s">
        <v>15</v>
      </c>
      <c r="P8">
        <f>J13+J20</f>
        <v>47</v>
      </c>
      <c r="R8" t="s">
        <v>26</v>
      </c>
      <c r="S8">
        <f>SUM(S4:S7)</f>
        <v>38.700000000000003</v>
      </c>
      <c r="U8" t="s">
        <v>26</v>
      </c>
      <c r="V8">
        <f>SUM(V4:V7)</f>
        <v>0</v>
      </c>
    </row>
    <row r="9" spans="2:25" x14ac:dyDescent="0.25">
      <c r="I9" t="s">
        <v>27</v>
      </c>
      <c r="J9">
        <v>3</v>
      </c>
      <c r="L9" t="s">
        <v>28</v>
      </c>
      <c r="M9">
        <v>0</v>
      </c>
      <c r="O9" t="s">
        <v>23</v>
      </c>
      <c r="P9">
        <f>J14+K20</f>
        <v>40</v>
      </c>
    </row>
    <row r="10" spans="2:25" x14ac:dyDescent="0.25">
      <c r="B10" t="s">
        <v>29</v>
      </c>
      <c r="C10">
        <v>1</v>
      </c>
      <c r="D10">
        <f>20+20*C10</f>
        <v>40</v>
      </c>
      <c r="E10">
        <f>0.15*V10+0.025*SUM(V14:V15)</f>
        <v>40.372500000000002</v>
      </c>
      <c r="F10">
        <f>E10+D10</f>
        <v>80.372500000000002</v>
      </c>
      <c r="L10" t="s">
        <v>30</v>
      </c>
      <c r="M10">
        <f>0.06+0.05*B80</f>
        <v>0.06</v>
      </c>
      <c r="R10" t="s">
        <v>31</v>
      </c>
      <c r="S10">
        <f>S8+M4</f>
        <v>120</v>
      </c>
      <c r="U10" t="s">
        <v>32</v>
      </c>
      <c r="V10">
        <f>V8</f>
        <v>0</v>
      </c>
    </row>
    <row r="12" spans="2:25" x14ac:dyDescent="0.25">
      <c r="B12" t="s">
        <v>33</v>
      </c>
      <c r="C12">
        <v>5</v>
      </c>
      <c r="I12" t="s">
        <v>7</v>
      </c>
      <c r="J12">
        <f>410+90*C4</f>
        <v>1130</v>
      </c>
      <c r="O12" t="s">
        <v>91</v>
      </c>
      <c r="R12" t="s">
        <v>86</v>
      </c>
      <c r="U12" t="s">
        <v>88</v>
      </c>
      <c r="X12" t="s">
        <v>95</v>
      </c>
    </row>
    <row r="13" spans="2:25" x14ac:dyDescent="0.25">
      <c r="I13" t="s">
        <v>15</v>
      </c>
      <c r="J13">
        <f>19+3.5*C4</f>
        <v>47</v>
      </c>
      <c r="O13" t="s">
        <v>92</v>
      </c>
      <c r="P13">
        <v>1</v>
      </c>
      <c r="R13" t="s">
        <v>2</v>
      </c>
      <c r="S13">
        <f>J13</f>
        <v>47</v>
      </c>
      <c r="U13" t="s">
        <v>2</v>
      </c>
      <c r="V13">
        <f>J12</f>
        <v>1130</v>
      </c>
      <c r="X13" t="s">
        <v>2</v>
      </c>
      <c r="Y13">
        <f>J14</f>
        <v>40</v>
      </c>
    </row>
    <row r="14" spans="2:25" x14ac:dyDescent="0.25">
      <c r="B14" t="s">
        <v>34</v>
      </c>
      <c r="C14">
        <v>1</v>
      </c>
      <c r="I14" t="s">
        <v>23</v>
      </c>
      <c r="J14">
        <f>C4*1.25+30</f>
        <v>40</v>
      </c>
      <c r="O14" t="s">
        <v>93</v>
      </c>
      <c r="P14">
        <v>1</v>
      </c>
      <c r="R14" t="s">
        <v>10</v>
      </c>
      <c r="S14">
        <f>5+2*P15</f>
        <v>11</v>
      </c>
      <c r="U14" t="s">
        <v>16</v>
      </c>
      <c r="V14">
        <f>L20</f>
        <v>1500</v>
      </c>
      <c r="X14" t="s">
        <v>10</v>
      </c>
      <c r="Y14">
        <f>1*P15</f>
        <v>3</v>
      </c>
    </row>
    <row r="15" spans="2:25" x14ac:dyDescent="0.25">
      <c r="O15" t="s">
        <v>94</v>
      </c>
      <c r="P15">
        <v>3</v>
      </c>
      <c r="R15" t="s">
        <v>13</v>
      </c>
      <c r="S15">
        <f>9+1.5*C4</f>
        <v>21</v>
      </c>
      <c r="U15" t="s">
        <v>10</v>
      </c>
      <c r="V15">
        <f>36+0.03*(V13+V14)*P14</f>
        <v>114.89999999999999</v>
      </c>
      <c r="X15" t="s">
        <v>13</v>
      </c>
      <c r="Y15">
        <f>1.5*C4</f>
        <v>12</v>
      </c>
    </row>
    <row r="16" spans="2:25" x14ac:dyDescent="0.25">
      <c r="B16" s="3"/>
      <c r="R16" t="s">
        <v>16</v>
      </c>
      <c r="S16">
        <f>J20</f>
        <v>0</v>
      </c>
      <c r="X16" t="s">
        <v>16</v>
      </c>
      <c r="Y16">
        <f>K20</f>
        <v>0</v>
      </c>
    </row>
    <row r="17" spans="2:25" x14ac:dyDescent="0.25">
      <c r="R17" s="2" t="s">
        <v>87</v>
      </c>
      <c r="S17" s="2">
        <v>15</v>
      </c>
      <c r="U17" t="s">
        <v>89</v>
      </c>
      <c r="V17">
        <f>SUM(V13:V15)</f>
        <v>2744.9</v>
      </c>
    </row>
    <row r="18" spans="2:25" x14ac:dyDescent="0.25">
      <c r="R18" t="s">
        <v>10</v>
      </c>
      <c r="S18">
        <f>P13*0.025*SUM(S14:S17)</f>
        <v>1.175</v>
      </c>
      <c r="X18" t="s">
        <v>10</v>
      </c>
      <c r="Y18">
        <f>P13*0.025*SUM(Y14:Y17)</f>
        <v>0.375</v>
      </c>
    </row>
    <row r="19" spans="2:25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I19" s="2" t="s">
        <v>40</v>
      </c>
      <c r="J19" s="2" t="s">
        <v>15</v>
      </c>
      <c r="K19" s="2" t="s">
        <v>23</v>
      </c>
      <c r="L19" s="2" t="s">
        <v>7</v>
      </c>
      <c r="O19" s="2"/>
    </row>
    <row r="20" spans="2:25" x14ac:dyDescent="0.25">
      <c r="B20">
        <v>1</v>
      </c>
      <c r="C20" t="s">
        <v>74</v>
      </c>
      <c r="F20">
        <v>1000</v>
      </c>
      <c r="J20">
        <f>D63</f>
        <v>0</v>
      </c>
      <c r="K20">
        <f>E63</f>
        <v>0</v>
      </c>
      <c r="L20">
        <f>F63*(1+0.25*B33)</f>
        <v>1500</v>
      </c>
      <c r="R20" t="s">
        <v>90</v>
      </c>
      <c r="S20">
        <f>SUM(S13:S18)</f>
        <v>95.174999999999997</v>
      </c>
      <c r="X20" t="s">
        <v>96</v>
      </c>
      <c r="Y20">
        <f>SUM(Y13:Y18)</f>
        <v>55.375</v>
      </c>
    </row>
    <row r="21" spans="2:25" x14ac:dyDescent="0.25">
      <c r="C21" t="s">
        <v>75</v>
      </c>
      <c r="F21">
        <v>700</v>
      </c>
    </row>
    <row r="22" spans="2:25" x14ac:dyDescent="0.25">
      <c r="C22" t="s">
        <v>80</v>
      </c>
      <c r="F22">
        <v>650</v>
      </c>
      <c r="R22" t="s">
        <v>98</v>
      </c>
      <c r="S22" t="s">
        <v>99</v>
      </c>
      <c r="U22" t="s">
        <v>100</v>
      </c>
      <c r="V22" t="s">
        <v>101</v>
      </c>
    </row>
    <row r="23" spans="2:25" x14ac:dyDescent="0.25">
      <c r="C23" t="s">
        <v>76</v>
      </c>
      <c r="D23">
        <v>70</v>
      </c>
      <c r="F23">
        <v>500</v>
      </c>
      <c r="P23" s="2" t="s">
        <v>97</v>
      </c>
      <c r="R23">
        <v>0</v>
      </c>
      <c r="S23">
        <v>0.06</v>
      </c>
      <c r="U23">
        <f>$S$20*(1-S23)-R23</f>
        <v>89.464499999999987</v>
      </c>
      <c r="V23">
        <f>$V$17*(100+U23)/100</f>
        <v>5200.6110605000003</v>
      </c>
    </row>
    <row r="24" spans="2:25" x14ac:dyDescent="0.25">
      <c r="C24" t="s">
        <v>83</v>
      </c>
      <c r="F24">
        <v>500</v>
      </c>
      <c r="R24">
        <v>0</v>
      </c>
      <c r="S24">
        <v>0.38900000000000001</v>
      </c>
      <c r="U24">
        <f>$S$20*(1-S24)-R24</f>
        <v>58.151924999999999</v>
      </c>
      <c r="V24">
        <f>$V$17*(100+U24)/100</f>
        <v>4341.1121893250001</v>
      </c>
    </row>
    <row r="25" spans="2:25" x14ac:dyDescent="0.25">
      <c r="C25" t="s">
        <v>77</v>
      </c>
      <c r="D25">
        <v>45</v>
      </c>
      <c r="F25">
        <v>450</v>
      </c>
      <c r="R25">
        <v>20</v>
      </c>
      <c r="S25">
        <v>0.06</v>
      </c>
      <c r="U25">
        <f>$S$20*(1-S25)-R25</f>
        <v>69.464499999999987</v>
      </c>
      <c r="V25">
        <f>$V$17*(100+U25)/100</f>
        <v>4651.6310604999999</v>
      </c>
    </row>
    <row r="26" spans="2:25" x14ac:dyDescent="0.25">
      <c r="C26" t="s">
        <v>78</v>
      </c>
      <c r="E26">
        <v>55</v>
      </c>
      <c r="F26">
        <v>450</v>
      </c>
      <c r="R26">
        <v>20</v>
      </c>
      <c r="S26">
        <v>0.38900000000000001</v>
      </c>
      <c r="U26">
        <f>$S$20*(1-S26)-R26</f>
        <v>38.151924999999999</v>
      </c>
      <c r="V26">
        <f>$V$17*(100+U26)/100</f>
        <v>3792.1321893250006</v>
      </c>
    </row>
    <row r="27" spans="2:25" x14ac:dyDescent="0.25">
      <c r="C27" t="s">
        <v>79</v>
      </c>
      <c r="E27">
        <v>55</v>
      </c>
      <c r="F27">
        <v>450</v>
      </c>
    </row>
    <row r="28" spans="2:25" x14ac:dyDescent="0.25">
      <c r="C28" t="s">
        <v>81</v>
      </c>
      <c r="E28">
        <v>40</v>
      </c>
      <c r="F28">
        <v>400</v>
      </c>
    </row>
    <row r="29" spans="2:25" x14ac:dyDescent="0.25">
      <c r="C29" t="s">
        <v>82</v>
      </c>
      <c r="F29">
        <v>400</v>
      </c>
    </row>
    <row r="30" spans="2:25" x14ac:dyDescent="0.25">
      <c r="C30" t="s">
        <v>84</v>
      </c>
      <c r="F30">
        <v>380</v>
      </c>
    </row>
    <row r="31" spans="2:25" x14ac:dyDescent="0.25">
      <c r="C31" t="s">
        <v>59</v>
      </c>
      <c r="F31">
        <v>250</v>
      </c>
    </row>
    <row r="32" spans="2:25" x14ac:dyDescent="0.25">
      <c r="C32" t="s">
        <v>107</v>
      </c>
      <c r="F32">
        <v>150</v>
      </c>
    </row>
    <row r="33" spans="2:22" x14ac:dyDescent="0.25">
      <c r="B33">
        <v>1</v>
      </c>
      <c r="C33" t="s">
        <v>85</v>
      </c>
      <c r="F33">
        <v>200</v>
      </c>
    </row>
    <row r="34" spans="2:22" x14ac:dyDescent="0.25">
      <c r="C34" t="s">
        <v>106</v>
      </c>
      <c r="D34">
        <v>100</v>
      </c>
    </row>
    <row r="35" spans="2:22" x14ac:dyDescent="0.25">
      <c r="C35" t="s">
        <v>105</v>
      </c>
      <c r="D35">
        <v>100</v>
      </c>
    </row>
    <row r="36" spans="2:22" x14ac:dyDescent="0.25">
      <c r="C36" t="s">
        <v>108</v>
      </c>
      <c r="D36">
        <v>40</v>
      </c>
    </row>
    <row r="37" spans="2:22" x14ac:dyDescent="0.25">
      <c r="C37" t="s">
        <v>109</v>
      </c>
      <c r="D37">
        <v>25</v>
      </c>
    </row>
    <row r="38" spans="2:22" x14ac:dyDescent="0.25">
      <c r="C38" t="s">
        <v>112</v>
      </c>
      <c r="E38">
        <v>40</v>
      </c>
    </row>
    <row r="39" spans="2:22" x14ac:dyDescent="0.25">
      <c r="C39" t="s">
        <v>110</v>
      </c>
      <c r="E39">
        <v>25</v>
      </c>
    </row>
    <row r="42" spans="2:22" x14ac:dyDescent="0.25">
      <c r="C42" s="2" t="s">
        <v>72</v>
      </c>
      <c r="R42" t="s">
        <v>102</v>
      </c>
      <c r="S42" t="s">
        <v>103</v>
      </c>
      <c r="U42" t="s">
        <v>104</v>
      </c>
    </row>
    <row r="43" spans="2:22" x14ac:dyDescent="0.25">
      <c r="D43">
        <f t="shared" ref="D43:D61" si="0">D20*B20</f>
        <v>0</v>
      </c>
      <c r="E43">
        <f t="shared" ref="E43:E61" si="1">E20*B20</f>
        <v>0</v>
      </c>
      <c r="F43">
        <f t="shared" ref="F43:F61" si="2">F20*B20</f>
        <v>1000</v>
      </c>
      <c r="R43">
        <v>0</v>
      </c>
      <c r="S43">
        <v>0.06</v>
      </c>
      <c r="U43">
        <f t="shared" ref="U43:U48" si="3">$Y$20*(1-S43)-R43</f>
        <v>52.052499999999995</v>
      </c>
      <c r="V43">
        <f t="shared" ref="V43:V48" si="4">$V$17*(100+U43)/100</f>
        <v>4173.6890725000003</v>
      </c>
    </row>
    <row r="44" spans="2:22" x14ac:dyDescent="0.25">
      <c r="D44">
        <f t="shared" si="0"/>
        <v>0</v>
      </c>
      <c r="E44">
        <f t="shared" si="1"/>
        <v>0</v>
      </c>
      <c r="F44">
        <f t="shared" si="2"/>
        <v>0</v>
      </c>
      <c r="R44">
        <v>0</v>
      </c>
      <c r="S44">
        <v>0.38900000000000001</v>
      </c>
      <c r="U44">
        <f t="shared" si="3"/>
        <v>33.834125</v>
      </c>
      <c r="V44">
        <f t="shared" si="4"/>
        <v>3673.612897125</v>
      </c>
    </row>
    <row r="45" spans="2:22" x14ac:dyDescent="0.25">
      <c r="D45">
        <f t="shared" si="0"/>
        <v>0</v>
      </c>
      <c r="E45">
        <f t="shared" si="1"/>
        <v>0</v>
      </c>
      <c r="F45">
        <f t="shared" si="2"/>
        <v>0</v>
      </c>
      <c r="R45">
        <v>15</v>
      </c>
      <c r="S45">
        <v>0.06</v>
      </c>
      <c r="U45">
        <f t="shared" si="3"/>
        <v>37.052499999999995</v>
      </c>
      <c r="V45">
        <f t="shared" si="4"/>
        <v>3761.9540725000006</v>
      </c>
    </row>
    <row r="46" spans="2:22" x14ac:dyDescent="0.25">
      <c r="D46">
        <f t="shared" si="0"/>
        <v>0</v>
      </c>
      <c r="E46">
        <f t="shared" si="1"/>
        <v>0</v>
      </c>
      <c r="F46">
        <f t="shared" si="2"/>
        <v>0</v>
      </c>
      <c r="R46">
        <v>15</v>
      </c>
      <c r="S46">
        <v>0.38900000000000001</v>
      </c>
      <c r="U46">
        <f t="shared" si="3"/>
        <v>18.834125</v>
      </c>
      <c r="V46">
        <f t="shared" si="4"/>
        <v>3261.8778971249999</v>
      </c>
    </row>
    <row r="47" spans="2:22" x14ac:dyDescent="0.25">
      <c r="D47">
        <f t="shared" si="0"/>
        <v>0</v>
      </c>
      <c r="E47">
        <f t="shared" si="1"/>
        <v>0</v>
      </c>
      <c r="F47">
        <f t="shared" si="2"/>
        <v>0</v>
      </c>
      <c r="R47">
        <v>30</v>
      </c>
      <c r="S47">
        <v>0.06</v>
      </c>
      <c r="U47">
        <f t="shared" si="3"/>
        <v>22.052499999999995</v>
      </c>
      <c r="V47">
        <f t="shared" si="4"/>
        <v>3350.2190725</v>
      </c>
    </row>
    <row r="48" spans="2:22" x14ac:dyDescent="0.25">
      <c r="D48">
        <f t="shared" si="0"/>
        <v>0</v>
      </c>
      <c r="E48">
        <f t="shared" si="1"/>
        <v>0</v>
      </c>
      <c r="F48">
        <f t="shared" si="2"/>
        <v>0</v>
      </c>
      <c r="R48">
        <v>30</v>
      </c>
      <c r="S48">
        <v>0.38900000000000001</v>
      </c>
      <c r="U48">
        <f t="shared" si="3"/>
        <v>3.8341250000000002</v>
      </c>
      <c r="V48">
        <f t="shared" si="4"/>
        <v>2850.1428971250002</v>
      </c>
    </row>
    <row r="49" spans="3:6" x14ac:dyDescent="0.25">
      <c r="D49">
        <f t="shared" si="0"/>
        <v>0</v>
      </c>
      <c r="E49">
        <f t="shared" si="1"/>
        <v>0</v>
      </c>
      <c r="F49">
        <f t="shared" si="2"/>
        <v>0</v>
      </c>
    </row>
    <row r="50" spans="3:6" x14ac:dyDescent="0.25">
      <c r="D50">
        <f t="shared" si="0"/>
        <v>0</v>
      </c>
      <c r="E50">
        <f t="shared" si="1"/>
        <v>0</v>
      </c>
      <c r="F50">
        <f t="shared" si="2"/>
        <v>0</v>
      </c>
    </row>
    <row r="51" spans="3:6" x14ac:dyDescent="0.25">
      <c r="D51">
        <f t="shared" si="0"/>
        <v>0</v>
      </c>
      <c r="E51">
        <f t="shared" si="1"/>
        <v>0</v>
      </c>
      <c r="F51">
        <f t="shared" si="2"/>
        <v>0</v>
      </c>
    </row>
    <row r="52" spans="3:6" x14ac:dyDescent="0.25">
      <c r="D52">
        <f t="shared" si="0"/>
        <v>0</v>
      </c>
      <c r="E52">
        <f t="shared" si="1"/>
        <v>0</v>
      </c>
      <c r="F52">
        <f t="shared" si="2"/>
        <v>0</v>
      </c>
    </row>
    <row r="53" spans="3:6" x14ac:dyDescent="0.25">
      <c r="D53">
        <f t="shared" si="0"/>
        <v>0</v>
      </c>
      <c r="E53">
        <f t="shared" si="1"/>
        <v>0</v>
      </c>
      <c r="F53">
        <f t="shared" si="2"/>
        <v>0</v>
      </c>
    </row>
    <row r="54" spans="3:6" x14ac:dyDescent="0.25">
      <c r="D54">
        <f t="shared" si="0"/>
        <v>0</v>
      </c>
      <c r="E54">
        <f t="shared" si="1"/>
        <v>0</v>
      </c>
      <c r="F54">
        <f t="shared" si="2"/>
        <v>0</v>
      </c>
    </row>
    <row r="55" spans="3:6" x14ac:dyDescent="0.25">
      <c r="D55">
        <f t="shared" si="0"/>
        <v>0</v>
      </c>
      <c r="E55">
        <f t="shared" si="1"/>
        <v>0</v>
      </c>
      <c r="F55">
        <f t="shared" si="2"/>
        <v>0</v>
      </c>
    </row>
    <row r="56" spans="3:6" x14ac:dyDescent="0.25">
      <c r="D56">
        <f t="shared" si="0"/>
        <v>0</v>
      </c>
      <c r="E56">
        <f t="shared" si="1"/>
        <v>0</v>
      </c>
      <c r="F56">
        <f t="shared" si="2"/>
        <v>200</v>
      </c>
    </row>
    <row r="57" spans="3:6" x14ac:dyDescent="0.25">
      <c r="D57">
        <f t="shared" si="0"/>
        <v>0</v>
      </c>
      <c r="E57">
        <f t="shared" si="1"/>
        <v>0</v>
      </c>
      <c r="F57">
        <f t="shared" si="2"/>
        <v>0</v>
      </c>
    </row>
    <row r="58" spans="3:6" x14ac:dyDescent="0.25">
      <c r="D58">
        <f t="shared" si="0"/>
        <v>0</v>
      </c>
      <c r="E58">
        <f t="shared" si="1"/>
        <v>0</v>
      </c>
      <c r="F58">
        <f t="shared" si="2"/>
        <v>0</v>
      </c>
    </row>
    <row r="59" spans="3:6" x14ac:dyDescent="0.25">
      <c r="D59">
        <f t="shared" si="0"/>
        <v>0</v>
      </c>
      <c r="E59">
        <f t="shared" si="1"/>
        <v>0</v>
      </c>
      <c r="F59">
        <f t="shared" si="2"/>
        <v>0</v>
      </c>
    </row>
    <row r="60" spans="3:6" x14ac:dyDescent="0.25">
      <c r="D60">
        <f t="shared" si="0"/>
        <v>0</v>
      </c>
      <c r="E60">
        <f t="shared" si="1"/>
        <v>0</v>
      </c>
      <c r="F60">
        <f t="shared" si="2"/>
        <v>0</v>
      </c>
    </row>
    <row r="61" spans="3:6" x14ac:dyDescent="0.25">
      <c r="D61">
        <f t="shared" si="0"/>
        <v>0</v>
      </c>
      <c r="E61">
        <f t="shared" si="1"/>
        <v>0</v>
      </c>
      <c r="F61">
        <f t="shared" si="2"/>
        <v>0</v>
      </c>
    </row>
    <row r="62" spans="3:6" x14ac:dyDescent="0.25">
      <c r="D62">
        <f>D39*B39</f>
        <v>0</v>
      </c>
      <c r="E62">
        <f>E39*B39</f>
        <v>0</v>
      </c>
      <c r="F62">
        <f>F39*B39</f>
        <v>0</v>
      </c>
    </row>
    <row r="63" spans="3:6" x14ac:dyDescent="0.25">
      <c r="C63" s="2" t="s">
        <v>73</v>
      </c>
      <c r="D63">
        <f>SUM(D43:D62)</f>
        <v>0</v>
      </c>
      <c r="E63">
        <f>SUM(E43:E62)</f>
        <v>0</v>
      </c>
      <c r="F63">
        <f>SUM(F43:F62)</f>
        <v>1200</v>
      </c>
    </row>
    <row r="67" spans="2:15" x14ac:dyDescent="0.25">
      <c r="B67" s="2" t="s">
        <v>35</v>
      </c>
      <c r="C67" s="2" t="s">
        <v>36</v>
      </c>
      <c r="D67" s="2" t="s">
        <v>37</v>
      </c>
      <c r="E67" s="2" t="s">
        <v>38</v>
      </c>
      <c r="F67" s="2" t="s">
        <v>39</v>
      </c>
      <c r="I67" s="2" t="s">
        <v>40</v>
      </c>
      <c r="J67" s="2" t="s">
        <v>37</v>
      </c>
      <c r="K67" s="2" t="s">
        <v>38</v>
      </c>
      <c r="L67" s="2" t="s">
        <v>41</v>
      </c>
      <c r="O67" s="2" t="s">
        <v>42</v>
      </c>
    </row>
    <row r="68" spans="2:15" x14ac:dyDescent="0.25">
      <c r="C68" t="s">
        <v>43</v>
      </c>
      <c r="D68">
        <v>80</v>
      </c>
      <c r="E68">
        <v>0</v>
      </c>
      <c r="F68">
        <v>0.25</v>
      </c>
      <c r="J68">
        <f>D118</f>
        <v>0</v>
      </c>
      <c r="K68">
        <f>E118</f>
        <v>0</v>
      </c>
      <c r="L68">
        <f>F118</f>
        <v>0</v>
      </c>
    </row>
    <row r="69" spans="2:15" x14ac:dyDescent="0.25">
      <c r="C69" t="s">
        <v>44</v>
      </c>
      <c r="D69">
        <v>0</v>
      </c>
      <c r="E69">
        <v>0.5</v>
      </c>
      <c r="F69">
        <v>0.3</v>
      </c>
    </row>
    <row r="70" spans="2:15" x14ac:dyDescent="0.25">
      <c r="C70" t="s">
        <v>45</v>
      </c>
      <c r="E70">
        <v>0.4</v>
      </c>
      <c r="F70">
        <v>0.2</v>
      </c>
      <c r="I70" t="s">
        <v>12</v>
      </c>
      <c r="K70">
        <f>P5</f>
        <v>0.81561919999999999</v>
      </c>
    </row>
    <row r="71" spans="2:15" x14ac:dyDescent="0.25">
      <c r="C71" t="s">
        <v>46</v>
      </c>
      <c r="D71">
        <v>40</v>
      </c>
      <c r="E71">
        <v>0</v>
      </c>
      <c r="F71">
        <v>0</v>
      </c>
    </row>
    <row r="72" spans="2:15" x14ac:dyDescent="0.25">
      <c r="C72" t="s">
        <v>47</v>
      </c>
      <c r="D72">
        <v>80</v>
      </c>
      <c r="E72">
        <v>0</v>
      </c>
      <c r="F72">
        <v>0</v>
      </c>
      <c r="I72" t="s">
        <v>48</v>
      </c>
      <c r="K72">
        <v>2.5</v>
      </c>
    </row>
    <row r="73" spans="2:15" x14ac:dyDescent="0.25">
      <c r="C73" t="s">
        <v>49</v>
      </c>
      <c r="D73">
        <v>80</v>
      </c>
    </row>
    <row r="74" spans="2:15" x14ac:dyDescent="0.25">
      <c r="C74" t="s">
        <v>50</v>
      </c>
      <c r="D74">
        <v>7</v>
      </c>
      <c r="I74" t="s">
        <v>51</v>
      </c>
      <c r="K74">
        <f>S10</f>
        <v>120</v>
      </c>
    </row>
    <row r="75" spans="2:15" x14ac:dyDescent="0.25">
      <c r="C75" t="s">
        <v>52</v>
      </c>
      <c r="D75">
        <v>25</v>
      </c>
      <c r="E75">
        <v>0.5</v>
      </c>
      <c r="I75" t="s">
        <v>53</v>
      </c>
      <c r="K75">
        <f>K74*(1+1.5*L68)</f>
        <v>120</v>
      </c>
      <c r="O75" s="1"/>
    </row>
    <row r="76" spans="2:15" x14ac:dyDescent="0.25">
      <c r="C76" t="s">
        <v>54</v>
      </c>
      <c r="D76">
        <v>40</v>
      </c>
      <c r="E76">
        <v>0.4</v>
      </c>
      <c r="F76">
        <v>0</v>
      </c>
      <c r="I76" t="s">
        <v>55</v>
      </c>
      <c r="K76">
        <f>K74*IF(B68,2.5,2)</f>
        <v>240</v>
      </c>
    </row>
    <row r="77" spans="2:15" x14ac:dyDescent="0.25">
      <c r="C77" t="s">
        <v>56</v>
      </c>
      <c r="D77">
        <v>30</v>
      </c>
      <c r="E77">
        <v>0</v>
      </c>
      <c r="F77">
        <v>0.15</v>
      </c>
    </row>
    <row r="78" spans="2:15" x14ac:dyDescent="0.25">
      <c r="C78" t="s">
        <v>57</v>
      </c>
      <c r="E78">
        <v>0.2</v>
      </c>
      <c r="I78" t="s">
        <v>58</v>
      </c>
      <c r="K78">
        <f>S10*K70</f>
        <v>97.874303999999995</v>
      </c>
    </row>
    <row r="79" spans="2:15" x14ac:dyDescent="0.25">
      <c r="C79" t="s">
        <v>59</v>
      </c>
      <c r="D79">
        <v>30</v>
      </c>
      <c r="E79">
        <v>0.3</v>
      </c>
      <c r="F79">
        <v>0.1</v>
      </c>
      <c r="I79" t="s">
        <v>60</v>
      </c>
      <c r="K79">
        <f>K78*(1+1.5*L68)</f>
        <v>97.874303999999995</v>
      </c>
    </row>
    <row r="80" spans="2:15" x14ac:dyDescent="0.25">
      <c r="C80" t="s">
        <v>61</v>
      </c>
      <c r="D80">
        <v>20</v>
      </c>
    </row>
    <row r="81" spans="3:6" x14ac:dyDescent="0.25">
      <c r="C81" t="s">
        <v>62</v>
      </c>
      <c r="D81">
        <v>60</v>
      </c>
    </row>
    <row r="82" spans="3:6" x14ac:dyDescent="0.25">
      <c r="C82" t="s">
        <v>63</v>
      </c>
      <c r="D82">
        <v>25</v>
      </c>
    </row>
    <row r="83" spans="3:6" x14ac:dyDescent="0.25">
      <c r="C83" t="s">
        <v>64</v>
      </c>
      <c r="D83">
        <v>50</v>
      </c>
    </row>
    <row r="84" spans="3:6" x14ac:dyDescent="0.25">
      <c r="C84" t="s">
        <v>65</v>
      </c>
      <c r="D84">
        <v>25</v>
      </c>
    </row>
    <row r="85" spans="3:6" x14ac:dyDescent="0.25">
      <c r="C85" t="s">
        <v>66</v>
      </c>
      <c r="D85">
        <v>25</v>
      </c>
    </row>
    <row r="86" spans="3:6" x14ac:dyDescent="0.25">
      <c r="C86" t="s">
        <v>67</v>
      </c>
      <c r="D86">
        <v>40</v>
      </c>
    </row>
    <row r="87" spans="3:6" x14ac:dyDescent="0.25">
      <c r="C87" t="s">
        <v>68</v>
      </c>
      <c r="D87">
        <v>75</v>
      </c>
    </row>
    <row r="88" spans="3:6" x14ac:dyDescent="0.25">
      <c r="C88" t="s">
        <v>69</v>
      </c>
      <c r="D88">
        <v>10</v>
      </c>
    </row>
    <row r="89" spans="3:6" x14ac:dyDescent="0.25">
      <c r="C89" t="s">
        <v>70</v>
      </c>
      <c r="D89">
        <v>25</v>
      </c>
    </row>
    <row r="90" spans="3:6" x14ac:dyDescent="0.25">
      <c r="C90" t="s">
        <v>71</v>
      </c>
      <c r="D90">
        <v>50</v>
      </c>
    </row>
    <row r="94" spans="3:6" x14ac:dyDescent="0.25">
      <c r="C94" s="2" t="s">
        <v>72</v>
      </c>
    </row>
    <row r="95" spans="3:6" x14ac:dyDescent="0.25">
      <c r="D95">
        <f t="shared" ref="D95:D115" si="5">D68*B68</f>
        <v>0</v>
      </c>
      <c r="E95">
        <f t="shared" ref="E95:E117" si="6">E68*B68</f>
        <v>0</v>
      </c>
      <c r="F95">
        <f t="shared" ref="F95:F117" si="7">F68*B68</f>
        <v>0</v>
      </c>
    </row>
    <row r="96" spans="3:6" x14ac:dyDescent="0.25">
      <c r="D96">
        <f t="shared" si="5"/>
        <v>0</v>
      </c>
      <c r="E96">
        <f t="shared" si="6"/>
        <v>0</v>
      </c>
      <c r="F96">
        <f t="shared" si="7"/>
        <v>0</v>
      </c>
    </row>
    <row r="97" spans="4:6" x14ac:dyDescent="0.25">
      <c r="D97">
        <f t="shared" si="5"/>
        <v>0</v>
      </c>
      <c r="E97">
        <f t="shared" si="6"/>
        <v>0</v>
      </c>
      <c r="F97">
        <f t="shared" si="7"/>
        <v>0</v>
      </c>
    </row>
    <row r="98" spans="4:6" x14ac:dyDescent="0.25">
      <c r="D98">
        <f t="shared" si="5"/>
        <v>0</v>
      </c>
      <c r="E98">
        <f t="shared" si="6"/>
        <v>0</v>
      </c>
      <c r="F98">
        <f t="shared" si="7"/>
        <v>0</v>
      </c>
    </row>
    <row r="99" spans="4:6" x14ac:dyDescent="0.25">
      <c r="D99">
        <f t="shared" si="5"/>
        <v>0</v>
      </c>
      <c r="E99">
        <f t="shared" si="6"/>
        <v>0</v>
      </c>
      <c r="F99">
        <f t="shared" si="7"/>
        <v>0</v>
      </c>
    </row>
    <row r="100" spans="4:6" x14ac:dyDescent="0.25">
      <c r="D100">
        <f t="shared" si="5"/>
        <v>0</v>
      </c>
      <c r="E100">
        <f t="shared" si="6"/>
        <v>0</v>
      </c>
      <c r="F100">
        <f t="shared" si="7"/>
        <v>0</v>
      </c>
    </row>
    <row r="101" spans="4:6" x14ac:dyDescent="0.25">
      <c r="D101">
        <f t="shared" si="5"/>
        <v>0</v>
      </c>
      <c r="E101">
        <f t="shared" si="6"/>
        <v>0</v>
      </c>
      <c r="F101">
        <f t="shared" si="7"/>
        <v>0</v>
      </c>
    </row>
    <row r="102" spans="4:6" x14ac:dyDescent="0.25">
      <c r="D102">
        <f t="shared" si="5"/>
        <v>0</v>
      </c>
      <c r="E102">
        <f t="shared" si="6"/>
        <v>0</v>
      </c>
      <c r="F102">
        <f t="shared" si="7"/>
        <v>0</v>
      </c>
    </row>
    <row r="103" spans="4:6" x14ac:dyDescent="0.25">
      <c r="D103">
        <f t="shared" si="5"/>
        <v>0</v>
      </c>
      <c r="E103">
        <f t="shared" si="6"/>
        <v>0</v>
      </c>
      <c r="F103">
        <f t="shared" si="7"/>
        <v>0</v>
      </c>
    </row>
    <row r="104" spans="4:6" x14ac:dyDescent="0.25">
      <c r="D104">
        <f t="shared" si="5"/>
        <v>0</v>
      </c>
      <c r="E104">
        <f t="shared" si="6"/>
        <v>0</v>
      </c>
      <c r="F104">
        <f t="shared" si="7"/>
        <v>0</v>
      </c>
    </row>
    <row r="105" spans="4:6" x14ac:dyDescent="0.25">
      <c r="D105">
        <f t="shared" si="5"/>
        <v>0</v>
      </c>
      <c r="E105">
        <f t="shared" si="6"/>
        <v>0</v>
      </c>
      <c r="F105">
        <f t="shared" si="7"/>
        <v>0</v>
      </c>
    </row>
    <row r="106" spans="4:6" x14ac:dyDescent="0.25">
      <c r="D106">
        <f t="shared" si="5"/>
        <v>0</v>
      </c>
      <c r="E106">
        <f t="shared" si="6"/>
        <v>0</v>
      </c>
      <c r="F106">
        <f t="shared" si="7"/>
        <v>0</v>
      </c>
    </row>
    <row r="107" spans="4:6" x14ac:dyDescent="0.25">
      <c r="D107">
        <f t="shared" si="5"/>
        <v>0</v>
      </c>
      <c r="E107">
        <f t="shared" si="6"/>
        <v>0</v>
      </c>
      <c r="F107">
        <f t="shared" si="7"/>
        <v>0</v>
      </c>
    </row>
    <row r="108" spans="4:6" x14ac:dyDescent="0.25">
      <c r="D108">
        <f t="shared" si="5"/>
        <v>0</v>
      </c>
      <c r="E108">
        <f t="shared" si="6"/>
        <v>0</v>
      </c>
      <c r="F108">
        <f t="shared" si="7"/>
        <v>0</v>
      </c>
    </row>
    <row r="109" spans="4:6" x14ac:dyDescent="0.25">
      <c r="D109">
        <f t="shared" si="5"/>
        <v>0</v>
      </c>
      <c r="E109">
        <f t="shared" si="6"/>
        <v>0</v>
      </c>
      <c r="F109">
        <f t="shared" si="7"/>
        <v>0</v>
      </c>
    </row>
    <row r="110" spans="4:6" x14ac:dyDescent="0.25">
      <c r="D110">
        <f t="shared" si="5"/>
        <v>0</v>
      </c>
      <c r="E110">
        <f t="shared" si="6"/>
        <v>0</v>
      </c>
      <c r="F110">
        <f t="shared" si="7"/>
        <v>0</v>
      </c>
    </row>
    <row r="111" spans="4:6" x14ac:dyDescent="0.25">
      <c r="D111">
        <f t="shared" si="5"/>
        <v>0</v>
      </c>
      <c r="E111">
        <f t="shared" si="6"/>
        <v>0</v>
      </c>
      <c r="F111">
        <f t="shared" si="7"/>
        <v>0</v>
      </c>
    </row>
    <row r="112" spans="4:6" x14ac:dyDescent="0.25">
      <c r="D112">
        <f t="shared" si="5"/>
        <v>0</v>
      </c>
      <c r="E112">
        <f t="shared" si="6"/>
        <v>0</v>
      </c>
      <c r="F112">
        <f t="shared" si="7"/>
        <v>0</v>
      </c>
    </row>
    <row r="113" spans="3:6" x14ac:dyDescent="0.25">
      <c r="D113">
        <f t="shared" si="5"/>
        <v>0</v>
      </c>
      <c r="E113">
        <f t="shared" si="6"/>
        <v>0</v>
      </c>
      <c r="F113">
        <f t="shared" si="7"/>
        <v>0</v>
      </c>
    </row>
    <row r="114" spans="3:6" x14ac:dyDescent="0.25">
      <c r="D114">
        <f t="shared" si="5"/>
        <v>0</v>
      </c>
      <c r="E114">
        <f t="shared" si="6"/>
        <v>0</v>
      </c>
      <c r="F114">
        <f t="shared" si="7"/>
        <v>0</v>
      </c>
    </row>
    <row r="115" spans="3:6" x14ac:dyDescent="0.25">
      <c r="D115">
        <f t="shared" si="5"/>
        <v>0</v>
      </c>
      <c r="E115">
        <f t="shared" si="6"/>
        <v>0</v>
      </c>
      <c r="F115">
        <f t="shared" si="7"/>
        <v>0</v>
      </c>
    </row>
    <row r="116" spans="3:6" x14ac:dyDescent="0.25">
      <c r="D116">
        <f>D89*B89</f>
        <v>0</v>
      </c>
      <c r="E116">
        <f t="shared" si="6"/>
        <v>0</v>
      </c>
      <c r="F116">
        <f t="shared" si="7"/>
        <v>0</v>
      </c>
    </row>
    <row r="117" spans="3:6" x14ac:dyDescent="0.25">
      <c r="D117">
        <f>D90*B90</f>
        <v>0</v>
      </c>
      <c r="E117">
        <f t="shared" si="6"/>
        <v>0</v>
      </c>
      <c r="F117">
        <f t="shared" si="7"/>
        <v>0</v>
      </c>
    </row>
    <row r="118" spans="3:6" x14ac:dyDescent="0.25">
      <c r="C118" s="2" t="s">
        <v>73</v>
      </c>
      <c r="D118">
        <f>SUM(D95:D117)</f>
        <v>0</v>
      </c>
      <c r="E118">
        <f>SUM(E95:E117)</f>
        <v>0</v>
      </c>
      <c r="F118">
        <f>SUM(F95:F117)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5:V45"/>
  <sheetViews>
    <sheetView topLeftCell="A4" workbookViewId="0">
      <selection activeCell="H41" sqref="H41"/>
    </sheetView>
  </sheetViews>
  <sheetFormatPr defaultRowHeight="15" x14ac:dyDescent="0.25"/>
  <sheetData>
    <row r="5" spans="2:22" x14ac:dyDescent="0.25">
      <c r="B5" t="s">
        <v>138</v>
      </c>
    </row>
    <row r="6" spans="2:22" x14ac:dyDescent="0.25">
      <c r="B6" t="s">
        <v>139</v>
      </c>
      <c r="C6" t="s">
        <v>149</v>
      </c>
      <c r="D6" t="s">
        <v>148</v>
      </c>
      <c r="E6" t="s">
        <v>9</v>
      </c>
      <c r="F6" t="s">
        <v>12</v>
      </c>
      <c r="G6" t="s">
        <v>15</v>
      </c>
      <c r="H6" t="s">
        <v>150</v>
      </c>
      <c r="I6" t="s">
        <v>151</v>
      </c>
    </row>
    <row r="7" spans="2:22" x14ac:dyDescent="0.25">
      <c r="P7" t="s">
        <v>140</v>
      </c>
      <c r="Q7">
        <v>1</v>
      </c>
      <c r="R7">
        <v>1800</v>
      </c>
      <c r="S7">
        <v>80</v>
      </c>
      <c r="T7">
        <v>0.6</v>
      </c>
      <c r="U7">
        <v>20</v>
      </c>
      <c r="V7">
        <v>42</v>
      </c>
    </row>
    <row r="10" spans="2:22" x14ac:dyDescent="0.25">
      <c r="B10" t="s">
        <v>142</v>
      </c>
      <c r="C10">
        <v>1</v>
      </c>
      <c r="D10">
        <v>2000</v>
      </c>
      <c r="E10">
        <v>73</v>
      </c>
      <c r="F10">
        <v>0.49</v>
      </c>
      <c r="G10">
        <v>20</v>
      </c>
    </row>
    <row r="11" spans="2:22" x14ac:dyDescent="0.25">
      <c r="C11">
        <v>4</v>
      </c>
      <c r="E11">
        <v>88</v>
      </c>
      <c r="H11">
        <v>43</v>
      </c>
    </row>
    <row r="14" spans="2:22" x14ac:dyDescent="0.25">
      <c r="B14" t="s">
        <v>143</v>
      </c>
      <c r="C14">
        <v>1</v>
      </c>
      <c r="D14">
        <v>400</v>
      </c>
      <c r="E14">
        <v>12</v>
      </c>
      <c r="F14">
        <v>0.63</v>
      </c>
      <c r="G14">
        <v>8</v>
      </c>
      <c r="P14" t="s">
        <v>141</v>
      </c>
      <c r="Q14">
        <v>1</v>
      </c>
      <c r="R14">
        <v>400</v>
      </c>
      <c r="S14">
        <v>12</v>
      </c>
      <c r="T14">
        <v>0.6</v>
      </c>
      <c r="U14">
        <v>8</v>
      </c>
      <c r="V14">
        <v>22</v>
      </c>
    </row>
    <row r="15" spans="2:22" x14ac:dyDescent="0.25">
      <c r="E15">
        <v>16</v>
      </c>
      <c r="H15">
        <v>22</v>
      </c>
    </row>
    <row r="20" spans="2:22" x14ac:dyDescent="0.25">
      <c r="P20" t="s">
        <v>146</v>
      </c>
      <c r="Q20">
        <v>1</v>
      </c>
      <c r="R20">
        <v>1200</v>
      </c>
      <c r="S20">
        <v>55</v>
      </c>
      <c r="T20">
        <v>0.67</v>
      </c>
      <c r="U20">
        <v>15</v>
      </c>
    </row>
    <row r="21" spans="2:22" x14ac:dyDescent="0.25">
      <c r="Q21">
        <v>3</v>
      </c>
      <c r="R21">
        <v>1260</v>
      </c>
      <c r="S21">
        <v>61</v>
      </c>
      <c r="V21">
        <v>42</v>
      </c>
    </row>
    <row r="22" spans="2:22" x14ac:dyDescent="0.25">
      <c r="Q22">
        <v>5</v>
      </c>
      <c r="R22">
        <v>1380</v>
      </c>
      <c r="S22">
        <v>72</v>
      </c>
    </row>
    <row r="23" spans="2:22" x14ac:dyDescent="0.25">
      <c r="B23" t="s">
        <v>144</v>
      </c>
      <c r="C23">
        <v>1</v>
      </c>
      <c r="D23">
        <v>1320</v>
      </c>
      <c r="E23">
        <v>42</v>
      </c>
      <c r="F23">
        <v>0.63</v>
      </c>
      <c r="G23">
        <v>9</v>
      </c>
    </row>
    <row r="24" spans="2:22" x14ac:dyDescent="0.25">
      <c r="C24">
        <v>3</v>
      </c>
      <c r="E24">
        <v>46</v>
      </c>
    </row>
    <row r="25" spans="2:22" x14ac:dyDescent="0.25">
      <c r="C25">
        <v>4</v>
      </c>
      <c r="D25">
        <v>1452</v>
      </c>
      <c r="E25">
        <v>50</v>
      </c>
      <c r="H25">
        <v>49</v>
      </c>
    </row>
    <row r="26" spans="2:22" x14ac:dyDescent="0.25">
      <c r="P26" t="s">
        <v>152</v>
      </c>
      <c r="Q26">
        <v>1</v>
      </c>
      <c r="R26">
        <v>250</v>
      </c>
      <c r="S26">
        <v>20</v>
      </c>
      <c r="T26">
        <v>0.67</v>
      </c>
      <c r="U26">
        <v>5</v>
      </c>
    </row>
    <row r="27" spans="2:22" x14ac:dyDescent="0.25">
      <c r="Q27">
        <v>3</v>
      </c>
      <c r="R27">
        <v>263</v>
      </c>
      <c r="S27">
        <v>22</v>
      </c>
      <c r="V27">
        <v>12</v>
      </c>
    </row>
    <row r="28" spans="2:22" x14ac:dyDescent="0.25">
      <c r="Q28">
        <v>5</v>
      </c>
      <c r="R28">
        <v>288</v>
      </c>
      <c r="S28">
        <v>26</v>
      </c>
    </row>
    <row r="30" spans="2:22" x14ac:dyDescent="0.25">
      <c r="B30" t="s">
        <v>145</v>
      </c>
      <c r="C30">
        <v>1</v>
      </c>
      <c r="D30">
        <v>420</v>
      </c>
      <c r="E30">
        <v>16</v>
      </c>
      <c r="F30">
        <v>0.63</v>
      </c>
      <c r="G30">
        <v>6</v>
      </c>
    </row>
    <row r="31" spans="2:22" x14ac:dyDescent="0.25">
      <c r="C31">
        <v>3</v>
      </c>
      <c r="E31">
        <v>18</v>
      </c>
    </row>
    <row r="32" spans="2:22" x14ac:dyDescent="0.25">
      <c r="C32">
        <v>4</v>
      </c>
      <c r="D32">
        <v>462</v>
      </c>
      <c r="E32">
        <v>19</v>
      </c>
    </row>
    <row r="35" spans="2:16" x14ac:dyDescent="0.25">
      <c r="B35" t="s">
        <v>153</v>
      </c>
      <c r="C35">
        <v>1</v>
      </c>
      <c r="D35">
        <v>1600</v>
      </c>
      <c r="E35">
        <v>90</v>
      </c>
      <c r="F35">
        <v>0.63</v>
      </c>
      <c r="G35">
        <v>15</v>
      </c>
      <c r="P35" t="s">
        <v>154</v>
      </c>
    </row>
    <row r="38" spans="2:16" x14ac:dyDescent="0.25">
      <c r="P38" t="s">
        <v>155</v>
      </c>
    </row>
    <row r="41" spans="2:16" x14ac:dyDescent="0.25">
      <c r="B41" t="s">
        <v>197</v>
      </c>
      <c r="C41">
        <v>10</v>
      </c>
      <c r="D41">
        <v>6044</v>
      </c>
      <c r="E41">
        <v>230</v>
      </c>
      <c r="F41">
        <v>0.3</v>
      </c>
      <c r="G41">
        <v>24</v>
      </c>
      <c r="H41">
        <v>32</v>
      </c>
    </row>
    <row r="45" spans="2:16" x14ac:dyDescent="0.25">
      <c r="F45" t="s">
        <v>147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3:AA134"/>
  <sheetViews>
    <sheetView zoomScaleNormal="100" workbookViewId="0">
      <selection activeCell="C5" sqref="C5"/>
    </sheetView>
  </sheetViews>
  <sheetFormatPr defaultRowHeight="15" x14ac:dyDescent="0.25"/>
  <cols>
    <col min="3" max="3" width="19.5703125" customWidth="1"/>
  </cols>
  <sheetData>
    <row r="3" spans="2:27" x14ac:dyDescent="0.25">
      <c r="B3" t="s">
        <v>379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R3" t="s">
        <v>4</v>
      </c>
      <c r="U3" t="s">
        <v>5</v>
      </c>
      <c r="X3" t="s">
        <v>134</v>
      </c>
      <c r="Z3" t="s">
        <v>157</v>
      </c>
    </row>
    <row r="4" spans="2:27" x14ac:dyDescent="0.25">
      <c r="B4" t="s">
        <v>6</v>
      </c>
      <c r="C4">
        <v>1</v>
      </c>
      <c r="E4" t="s">
        <v>124</v>
      </c>
      <c r="F4">
        <v>0</v>
      </c>
      <c r="H4" t="s">
        <v>7</v>
      </c>
      <c r="I4">
        <v>542.79999999999995</v>
      </c>
      <c r="J4">
        <v>85</v>
      </c>
      <c r="L4" t="s">
        <v>7</v>
      </c>
      <c r="M4">
        <f>I4+J4*$F$4</f>
        <v>542.79999999999995</v>
      </c>
      <c r="O4" t="s">
        <v>9</v>
      </c>
      <c r="P4">
        <f>J79+M8</f>
        <v>55.04</v>
      </c>
      <c r="Q4">
        <v>1</v>
      </c>
      <c r="R4" t="s">
        <v>10</v>
      </c>
      <c r="S4">
        <f>Q4*(4+10/18*C4)</f>
        <v>4.5555555555555554</v>
      </c>
      <c r="U4" t="s">
        <v>10</v>
      </c>
      <c r="V4">
        <f>6+16*C4/18</f>
        <v>6.8888888888888893</v>
      </c>
      <c r="X4">
        <v>390</v>
      </c>
      <c r="Z4" t="s">
        <v>19</v>
      </c>
      <c r="AA4">
        <f>I9</f>
        <v>0.65800000000000003</v>
      </c>
    </row>
    <row r="5" spans="2:27" x14ac:dyDescent="0.25">
      <c r="H5" t="s">
        <v>120</v>
      </c>
      <c r="I5">
        <v>7.0049999999999999</v>
      </c>
      <c r="J5">
        <v>0.6</v>
      </c>
      <c r="L5" t="s">
        <v>120</v>
      </c>
      <c r="M5">
        <f t="shared" ref="M5:M12" si="0">I5+J5*$F$4</f>
        <v>7.0049999999999999</v>
      </c>
      <c r="O5" t="s">
        <v>12</v>
      </c>
      <c r="P5">
        <f>M9+I9*K79</f>
        <v>0.65800000000000003</v>
      </c>
      <c r="R5" t="s">
        <v>13</v>
      </c>
      <c r="S5">
        <v>8.5</v>
      </c>
      <c r="U5" t="s">
        <v>13</v>
      </c>
      <c r="V5">
        <v>14.85</v>
      </c>
      <c r="Z5" t="s">
        <v>168</v>
      </c>
      <c r="AA5">
        <f>F4*J9</f>
        <v>0</v>
      </c>
    </row>
    <row r="6" spans="2:27" x14ac:dyDescent="0.25">
      <c r="H6" t="s">
        <v>121</v>
      </c>
      <c r="L6" t="s">
        <v>121</v>
      </c>
      <c r="M6">
        <f t="shared" si="0"/>
        <v>0</v>
      </c>
      <c r="R6" t="s">
        <v>16</v>
      </c>
      <c r="S6">
        <f>J79</f>
        <v>7</v>
      </c>
      <c r="U6" t="s">
        <v>16</v>
      </c>
      <c r="V6">
        <v>0</v>
      </c>
      <c r="Z6" t="s">
        <v>10</v>
      </c>
      <c r="AA6">
        <v>0</v>
      </c>
    </row>
    <row r="7" spans="2:27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L7" t="s">
        <v>122</v>
      </c>
      <c r="M7">
        <f t="shared" si="0"/>
        <v>0</v>
      </c>
      <c r="O7" t="s">
        <v>7</v>
      </c>
      <c r="P7">
        <f>M4+L20</f>
        <v>542.79999999999995</v>
      </c>
      <c r="R7" s="2"/>
      <c r="U7" t="s">
        <v>293</v>
      </c>
      <c r="V7">
        <f>0.025*SUM(V13:V15)</f>
        <v>14.877099999999999</v>
      </c>
      <c r="Z7" t="s">
        <v>158</v>
      </c>
      <c r="AA7">
        <v>0.13500000000000001</v>
      </c>
    </row>
    <row r="8" spans="2:27" x14ac:dyDescent="0.25">
      <c r="B8" t="s">
        <v>25</v>
      </c>
      <c r="C8">
        <v>1</v>
      </c>
      <c r="H8" t="s">
        <v>8</v>
      </c>
      <c r="I8">
        <v>48.04</v>
      </c>
      <c r="J8">
        <v>3</v>
      </c>
      <c r="L8" t="s">
        <v>8</v>
      </c>
      <c r="M8">
        <f t="shared" si="0"/>
        <v>48.04</v>
      </c>
      <c r="O8" t="s">
        <v>120</v>
      </c>
      <c r="P8">
        <f>(M5+M5*M20+N20+V17*0.01)*(1+0.2*B28)</f>
        <v>13.468463844444443</v>
      </c>
      <c r="R8" t="s">
        <v>26</v>
      </c>
      <c r="S8">
        <f>SUM(S4:S7)</f>
        <v>20.055555555555557</v>
      </c>
      <c r="U8" t="s">
        <v>26</v>
      </c>
      <c r="V8">
        <f>SUM(V4:V7)</f>
        <v>36.615988888888886</v>
      </c>
      <c r="Z8" t="s">
        <v>159</v>
      </c>
      <c r="AA8">
        <f>K79</f>
        <v>0</v>
      </c>
    </row>
    <row r="9" spans="2:27" x14ac:dyDescent="0.25">
      <c r="H9" t="s">
        <v>14</v>
      </c>
      <c r="I9">
        <v>0.65800000000000003</v>
      </c>
      <c r="J9">
        <v>0.02</v>
      </c>
      <c r="L9" t="s">
        <v>14</v>
      </c>
      <c r="M9">
        <f t="shared" si="0"/>
        <v>0.65800000000000003</v>
      </c>
      <c r="O9" t="s">
        <v>15</v>
      </c>
      <c r="P9">
        <f>M10+J20</f>
        <v>21.88</v>
      </c>
    </row>
    <row r="10" spans="2:27" x14ac:dyDescent="0.25">
      <c r="H10" t="s">
        <v>15</v>
      </c>
      <c r="I10">
        <v>21.88</v>
      </c>
      <c r="J10">
        <v>3.5</v>
      </c>
      <c r="L10" t="s">
        <v>15</v>
      </c>
      <c r="M10">
        <f t="shared" si="0"/>
        <v>21.88</v>
      </c>
      <c r="O10" t="s">
        <v>23</v>
      </c>
      <c r="P10">
        <f>M11+K20</f>
        <v>30</v>
      </c>
      <c r="R10" t="s">
        <v>31</v>
      </c>
      <c r="S10">
        <f>S8+P4</f>
        <v>75.095555555555563</v>
      </c>
      <c r="U10" t="s">
        <v>32</v>
      </c>
      <c r="V10">
        <f>V8</f>
        <v>36.615988888888886</v>
      </c>
      <c r="Z10" t="s">
        <v>160</v>
      </c>
      <c r="AA10">
        <f>(1+SUM(AA5:AA8))*AA4</f>
        <v>0.74682999999999999</v>
      </c>
    </row>
    <row r="11" spans="2:27" x14ac:dyDescent="0.25">
      <c r="B11" t="s">
        <v>29</v>
      </c>
      <c r="C11">
        <v>1</v>
      </c>
      <c r="H11" t="s">
        <v>23</v>
      </c>
      <c r="I11">
        <v>30</v>
      </c>
      <c r="J11">
        <v>0</v>
      </c>
      <c r="L11" t="s">
        <v>23</v>
      </c>
      <c r="M11">
        <f t="shared" si="0"/>
        <v>30</v>
      </c>
      <c r="Z11" t="s">
        <v>167</v>
      </c>
      <c r="AA11">
        <f>(1++F11+SUM(AA5:AA8))*AA4</f>
        <v>0.74682999999999999</v>
      </c>
    </row>
    <row r="12" spans="2:27" x14ac:dyDescent="0.25">
      <c r="H12" t="s">
        <v>123</v>
      </c>
      <c r="I12">
        <v>335</v>
      </c>
      <c r="L12" t="s">
        <v>123</v>
      </c>
      <c r="M12">
        <f t="shared" si="0"/>
        <v>335</v>
      </c>
      <c r="O12" t="s">
        <v>91</v>
      </c>
      <c r="R12" t="s">
        <v>86</v>
      </c>
      <c r="U12" t="s">
        <v>88</v>
      </c>
      <c r="X12" t="s">
        <v>95</v>
      </c>
    </row>
    <row r="13" spans="2:27" x14ac:dyDescent="0.25">
      <c r="O13" t="s">
        <v>92</v>
      </c>
      <c r="P13">
        <v>1</v>
      </c>
      <c r="R13" t="s">
        <v>2</v>
      </c>
      <c r="S13">
        <f>M10</f>
        <v>21.88</v>
      </c>
      <c r="U13" t="s">
        <v>2</v>
      </c>
      <c r="V13">
        <f>M4</f>
        <v>542.79999999999995</v>
      </c>
      <c r="X13" t="s">
        <v>2</v>
      </c>
      <c r="Y13">
        <f>M11</f>
        <v>30</v>
      </c>
    </row>
    <row r="14" spans="2:27" x14ac:dyDescent="0.25">
      <c r="B14" t="s">
        <v>33</v>
      </c>
      <c r="C14">
        <v>1</v>
      </c>
      <c r="O14" t="s">
        <v>93</v>
      </c>
      <c r="P14">
        <v>1</v>
      </c>
      <c r="R14" t="s">
        <v>10</v>
      </c>
      <c r="S14">
        <v>0</v>
      </c>
      <c r="U14" t="s">
        <v>16</v>
      </c>
      <c r="V14">
        <f>L20</f>
        <v>0</v>
      </c>
      <c r="X14" t="s">
        <v>10</v>
      </c>
      <c r="Y14">
        <v>0</v>
      </c>
    </row>
    <row r="15" spans="2:27" x14ac:dyDescent="0.25">
      <c r="O15" t="s">
        <v>94</v>
      </c>
      <c r="P15">
        <v>3</v>
      </c>
      <c r="R15" t="s">
        <v>13</v>
      </c>
      <c r="S15">
        <v>9</v>
      </c>
      <c r="U15" t="s">
        <v>10</v>
      </c>
      <c r="V15">
        <f>36+0.03*(V13+V14)*P14</f>
        <v>52.283999999999999</v>
      </c>
      <c r="X15" t="s">
        <v>13</v>
      </c>
      <c r="Y15">
        <v>0</v>
      </c>
    </row>
    <row r="16" spans="2:27" x14ac:dyDescent="0.25">
      <c r="B16" t="s">
        <v>34</v>
      </c>
      <c r="C16">
        <v>1</v>
      </c>
      <c r="R16" t="s">
        <v>16</v>
      </c>
      <c r="S16">
        <f>J20</f>
        <v>0</v>
      </c>
      <c r="U16" s="2" t="s">
        <v>293</v>
      </c>
      <c r="V16" s="2">
        <f>1.4*V10</f>
        <v>51.262384444444436</v>
      </c>
      <c r="X16" t="s">
        <v>16</v>
      </c>
      <c r="Y16">
        <f>K20</f>
        <v>0</v>
      </c>
    </row>
    <row r="17" spans="2:26" x14ac:dyDescent="0.25">
      <c r="R17" s="2"/>
      <c r="S17" s="2"/>
      <c r="U17" t="s">
        <v>89</v>
      </c>
      <c r="V17">
        <f>SUM(V13:V16)</f>
        <v>646.34638444444442</v>
      </c>
    </row>
    <row r="18" spans="2:26" x14ac:dyDescent="0.25">
      <c r="J18" s="2" t="s">
        <v>40</v>
      </c>
      <c r="R18" t="s">
        <v>10</v>
      </c>
      <c r="S18">
        <f>P13*0.025*SUM(S14:S17)</f>
        <v>0.22500000000000001</v>
      </c>
      <c r="X18" t="s">
        <v>10</v>
      </c>
      <c r="Y18">
        <f>P13*0.025*SUM(Y14:Y17)</f>
        <v>0</v>
      </c>
    </row>
    <row r="19" spans="2:26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</row>
    <row r="20" spans="2:26" x14ac:dyDescent="0.25">
      <c r="C20" t="s">
        <v>74</v>
      </c>
      <c r="F20">
        <v>1000</v>
      </c>
      <c r="J20">
        <f>D75</f>
        <v>0</v>
      </c>
      <c r="K20">
        <f>E75</f>
        <v>0</v>
      </c>
      <c r="L20">
        <f>F75*(1+0.25*B34)</f>
        <v>0</v>
      </c>
      <c r="M20">
        <f>G75</f>
        <v>0</v>
      </c>
      <c r="N20">
        <f>H75</f>
        <v>0</v>
      </c>
      <c r="R20" t="s">
        <v>90</v>
      </c>
      <c r="S20">
        <f>SUM(S13:S18)</f>
        <v>31.105</v>
      </c>
      <c r="X20" t="s">
        <v>96</v>
      </c>
      <c r="Y20">
        <f>SUM(Y13:Y18)</f>
        <v>30</v>
      </c>
    </row>
    <row r="21" spans="2:26" x14ac:dyDescent="0.25">
      <c r="C21" t="s">
        <v>117</v>
      </c>
      <c r="F21">
        <v>800</v>
      </c>
      <c r="H21">
        <f>V17*0.03</f>
        <v>19.390391533333332</v>
      </c>
    </row>
    <row r="22" spans="2:26" x14ac:dyDescent="0.25">
      <c r="C22" t="s">
        <v>75</v>
      </c>
      <c r="F22">
        <v>700</v>
      </c>
      <c r="J22" s="2" t="s">
        <v>42</v>
      </c>
      <c r="L22" s="2" t="s">
        <v>130</v>
      </c>
      <c r="R22" t="s">
        <v>98</v>
      </c>
      <c r="S22" t="s">
        <v>99</v>
      </c>
      <c r="U22" t="s">
        <v>100</v>
      </c>
      <c r="V22" t="s">
        <v>101</v>
      </c>
      <c r="W22">
        <v>4.1900000000000004</v>
      </c>
      <c r="Y22" t="s">
        <v>118</v>
      </c>
    </row>
    <row r="23" spans="2:26" x14ac:dyDescent="0.25">
      <c r="C23" t="s">
        <v>80</v>
      </c>
      <c r="F23">
        <v>650</v>
      </c>
      <c r="J23" t="s">
        <v>25</v>
      </c>
      <c r="N23">
        <f>F8*3</f>
        <v>0</v>
      </c>
      <c r="P23" s="2" t="s">
        <v>97</v>
      </c>
      <c r="R23">
        <v>0</v>
      </c>
      <c r="S23">
        <v>0.06</v>
      </c>
      <c r="U23">
        <f>$S$20*(1-S23)-R23</f>
        <v>29.238699999999998</v>
      </c>
      <c r="V23">
        <f>$V$17*(100+U23)/100</f>
        <v>835.32966475300213</v>
      </c>
      <c r="W23">
        <v>20715.592674699998</v>
      </c>
      <c r="Y23">
        <f>($V$17+$B$29*(50+10*$C$4))*(100+U23)/100</f>
        <v>835.32966475300213</v>
      </c>
      <c r="Z23">
        <f>Y23/W23</f>
        <v>4.0323715467392454E-2</v>
      </c>
    </row>
    <row r="24" spans="2:26" x14ac:dyDescent="0.25">
      <c r="C24" t="s">
        <v>76</v>
      </c>
      <c r="D24">
        <v>70</v>
      </c>
      <c r="F24">
        <v>500</v>
      </c>
      <c r="J24" t="s">
        <v>29</v>
      </c>
      <c r="R24">
        <v>0</v>
      </c>
      <c r="S24">
        <v>0.38900000000000001</v>
      </c>
      <c r="U24">
        <f>$S$20*(1-S24)-R24</f>
        <v>19.005154999999998</v>
      </c>
      <c r="V24">
        <f>$V$17*(100+U24)/100</f>
        <v>769.18551664500706</v>
      </c>
      <c r="Y24">
        <f>($V$17+$B$29*(50+10*$C$4))*(100+U24)/100</f>
        <v>769.18551664500706</v>
      </c>
    </row>
    <row r="25" spans="2:26" x14ac:dyDescent="0.25">
      <c r="C25" t="s">
        <v>83</v>
      </c>
      <c r="F25">
        <v>500</v>
      </c>
      <c r="G25">
        <v>1</v>
      </c>
      <c r="J25" t="s">
        <v>33</v>
      </c>
      <c r="N25">
        <f>F14</f>
        <v>0</v>
      </c>
      <c r="R25">
        <v>20</v>
      </c>
      <c r="S25">
        <v>0.06</v>
      </c>
      <c r="U25">
        <f>$S$20*(1-S25)-R25</f>
        <v>9.2386999999999979</v>
      </c>
      <c r="V25">
        <f>$V$17*(100+U25)/100</f>
        <v>706.0603878641133</v>
      </c>
      <c r="Y25">
        <f>($V$17+$B$29*(50+10*$C$4))*(100+U25)/100</f>
        <v>706.0603878641133</v>
      </c>
    </row>
    <row r="26" spans="2:26" x14ac:dyDescent="0.25">
      <c r="C26" t="s">
        <v>77</v>
      </c>
      <c r="D26">
        <v>45</v>
      </c>
      <c r="F26">
        <v>450</v>
      </c>
      <c r="J26" t="s">
        <v>134</v>
      </c>
      <c r="N26">
        <f>X4</f>
        <v>390</v>
      </c>
      <c r="R26">
        <v>20</v>
      </c>
      <c r="S26">
        <v>0.38900000000000001</v>
      </c>
      <c r="U26">
        <f>$S$20*(1-S26)-R26</f>
        <v>-0.99484500000000153</v>
      </c>
      <c r="V26">
        <f>$V$17*(100+U26)/100</f>
        <v>639.9162397561181</v>
      </c>
      <c r="Y26">
        <f>($V$17+$B$29*(50+10*$C$4))*(100+U26)/100</f>
        <v>639.9162397561181</v>
      </c>
    </row>
    <row r="27" spans="2:26" x14ac:dyDescent="0.25">
      <c r="C27" t="s">
        <v>78</v>
      </c>
      <c r="E27">
        <v>55</v>
      </c>
      <c r="F27">
        <v>450</v>
      </c>
      <c r="G27">
        <v>1</v>
      </c>
      <c r="R27">
        <v>10</v>
      </c>
      <c r="S27">
        <f>1-(1*0.94*0.65*0.75)</f>
        <v>0.54174999999999995</v>
      </c>
      <c r="U27">
        <f>$S$20*(1-S27)-R27</f>
        <v>4.2538662500000015</v>
      </c>
      <c r="V27">
        <f>$V$17*(100+U27)/100</f>
        <v>673.84109515042189</v>
      </c>
      <c r="W27">
        <v>12376.585678916252</v>
      </c>
      <c r="Y27">
        <f>($V$17+$B$29*(50+10*$C$4))*(100+U27)/100</f>
        <v>673.84109515042189</v>
      </c>
      <c r="Z27">
        <f>Y27/W27</f>
        <v>5.4444829344034919E-2</v>
      </c>
    </row>
    <row r="28" spans="2:26" x14ac:dyDescent="0.25">
      <c r="C28" t="s">
        <v>79</v>
      </c>
      <c r="E28">
        <v>55</v>
      </c>
      <c r="F28">
        <v>450</v>
      </c>
      <c r="G28">
        <v>1</v>
      </c>
    </row>
    <row r="29" spans="2:26" x14ac:dyDescent="0.25">
      <c r="C29" t="s">
        <v>81</v>
      </c>
      <c r="E29">
        <v>40</v>
      </c>
      <c r="F29">
        <v>400</v>
      </c>
      <c r="G29">
        <v>0.75</v>
      </c>
    </row>
    <row r="30" spans="2:26" x14ac:dyDescent="0.25">
      <c r="C30" t="s">
        <v>82</v>
      </c>
      <c r="F30">
        <v>400</v>
      </c>
      <c r="J30" t="s">
        <v>129</v>
      </c>
      <c r="N30">
        <f>SUM(N23:N25)</f>
        <v>0</v>
      </c>
    </row>
    <row r="31" spans="2:26" x14ac:dyDescent="0.25">
      <c r="C31" t="s">
        <v>84</v>
      </c>
      <c r="F31">
        <v>380</v>
      </c>
      <c r="J31" t="s">
        <v>135</v>
      </c>
      <c r="L31" s="2" t="s">
        <v>137</v>
      </c>
      <c r="N31">
        <f>N30+N26</f>
        <v>390</v>
      </c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</row>
    <row r="32" spans="2:26" x14ac:dyDescent="0.25">
      <c r="C32" t="s">
        <v>59</v>
      </c>
      <c r="F32">
        <v>250</v>
      </c>
      <c r="L32">
        <f>L23-N31</f>
        <v>-390</v>
      </c>
      <c r="R32">
        <v>0</v>
      </c>
      <c r="S32">
        <v>0.06</v>
      </c>
      <c r="U32">
        <f t="shared" ref="U32:U37" si="1">$Y$20*(1-S32)-R32</f>
        <v>28.2</v>
      </c>
      <c r="V32">
        <f t="shared" ref="V32:V37" si="2">$V$17*(100+U32)/100</f>
        <v>828.6160648577777</v>
      </c>
      <c r="W32">
        <v>11332.5147474</v>
      </c>
      <c r="Y32">
        <f t="shared" ref="Y32:Y37" si="3">($V$17+$B$29*(50+10*$C$4))*(100+U32)/100</f>
        <v>828.6160648577777</v>
      </c>
      <c r="Z32">
        <f>Y32/W32</f>
        <v>7.3118463406181375E-2</v>
      </c>
    </row>
    <row r="33" spans="3:26" x14ac:dyDescent="0.25">
      <c r="C33" t="s">
        <v>107</v>
      </c>
      <c r="F33">
        <v>150</v>
      </c>
      <c r="J33" t="s">
        <v>131</v>
      </c>
      <c r="R33">
        <v>0</v>
      </c>
      <c r="S33">
        <v>0.38900000000000001</v>
      </c>
      <c r="U33">
        <f t="shared" si="1"/>
        <v>18.329999999999998</v>
      </c>
      <c r="V33">
        <f t="shared" si="2"/>
        <v>764.82167671311106</v>
      </c>
      <c r="Y33">
        <f t="shared" si="3"/>
        <v>764.82167671311106</v>
      </c>
    </row>
    <row r="34" spans="3:26" x14ac:dyDescent="0.25">
      <c r="C34" t="s">
        <v>85</v>
      </c>
      <c r="F34">
        <v>300</v>
      </c>
      <c r="J34" t="s">
        <v>132</v>
      </c>
      <c r="M34">
        <f>22.5</f>
        <v>22.5</v>
      </c>
      <c r="R34">
        <v>15</v>
      </c>
      <c r="S34">
        <v>0.06</v>
      </c>
      <c r="U34">
        <f t="shared" si="1"/>
        <v>13.2</v>
      </c>
      <c r="V34">
        <f t="shared" si="2"/>
        <v>731.66410719111116</v>
      </c>
      <c r="Y34">
        <f t="shared" si="3"/>
        <v>731.66410719111116</v>
      </c>
    </row>
    <row r="35" spans="3:26" x14ac:dyDescent="0.25">
      <c r="C35" t="s">
        <v>115</v>
      </c>
      <c r="F35">
        <v>80</v>
      </c>
      <c r="H35">
        <v>6</v>
      </c>
      <c r="J35" t="s">
        <v>169</v>
      </c>
      <c r="N35">
        <f>AA10*S10</f>
        <v>56.083613755555561</v>
      </c>
      <c r="R35">
        <v>15</v>
      </c>
      <c r="S35">
        <v>0.38900000000000001</v>
      </c>
      <c r="U35">
        <f t="shared" si="1"/>
        <v>3.3299999999999983</v>
      </c>
      <c r="V35">
        <f t="shared" si="2"/>
        <v>667.8697190464444</v>
      </c>
      <c r="Y35">
        <f t="shared" si="3"/>
        <v>667.8697190464444</v>
      </c>
    </row>
    <row r="36" spans="3:26" x14ac:dyDescent="0.25">
      <c r="C36" t="s">
        <v>106</v>
      </c>
      <c r="D36">
        <v>100</v>
      </c>
      <c r="J36" t="s">
        <v>170</v>
      </c>
      <c r="N36">
        <f>AA11*S10</f>
        <v>56.083613755555561</v>
      </c>
      <c r="R36">
        <v>30</v>
      </c>
      <c r="S36">
        <v>0.06</v>
      </c>
      <c r="U36">
        <f t="shared" si="1"/>
        <v>-1.8000000000000007</v>
      </c>
      <c r="V36">
        <f t="shared" si="2"/>
        <v>634.7121495244445</v>
      </c>
      <c r="Y36">
        <f t="shared" si="3"/>
        <v>634.7121495244445</v>
      </c>
    </row>
    <row r="37" spans="3:26" x14ac:dyDescent="0.25">
      <c r="C37" t="s">
        <v>105</v>
      </c>
      <c r="D37">
        <v>100</v>
      </c>
      <c r="J37" t="s">
        <v>172</v>
      </c>
      <c r="N37">
        <f>N35+M34</f>
        <v>78.583613755555561</v>
      </c>
      <c r="R37">
        <v>30</v>
      </c>
      <c r="S37">
        <v>0.38900000000000001</v>
      </c>
      <c r="U37">
        <f t="shared" si="1"/>
        <v>-11.670000000000002</v>
      </c>
      <c r="V37">
        <f t="shared" si="2"/>
        <v>570.91776137977774</v>
      </c>
      <c r="W37">
        <v>7642.2235858100003</v>
      </c>
      <c r="Y37">
        <f t="shared" si="3"/>
        <v>570.91776137977774</v>
      </c>
      <c r="Z37">
        <f>Y37/W37</f>
        <v>7.4705712934106216E-2</v>
      </c>
    </row>
    <row r="38" spans="3:26" x14ac:dyDescent="0.25">
      <c r="C38" t="s">
        <v>113</v>
      </c>
      <c r="D38">
        <v>50</v>
      </c>
      <c r="J38" t="s">
        <v>171</v>
      </c>
      <c r="N38">
        <f>N36+M34</f>
        <v>78.583613755555561</v>
      </c>
    </row>
    <row r="39" spans="3:26" x14ac:dyDescent="0.25">
      <c r="C39" t="s">
        <v>108</v>
      </c>
      <c r="D39">
        <v>40</v>
      </c>
    </row>
    <row r="40" spans="3:26" x14ac:dyDescent="0.25">
      <c r="C40" t="s">
        <v>109</v>
      </c>
      <c r="D40">
        <v>25</v>
      </c>
    </row>
    <row r="41" spans="3:26" x14ac:dyDescent="0.25">
      <c r="C41" t="s">
        <v>114</v>
      </c>
      <c r="D41">
        <v>15</v>
      </c>
      <c r="J41" t="s">
        <v>136</v>
      </c>
      <c r="N41">
        <f>L32/N35</f>
        <v>-6.9539028226647961</v>
      </c>
    </row>
    <row r="42" spans="3:26" x14ac:dyDescent="0.25">
      <c r="C42" t="s">
        <v>116</v>
      </c>
      <c r="E42">
        <v>50</v>
      </c>
      <c r="T42" t="s">
        <v>191</v>
      </c>
      <c r="U42" t="s">
        <v>192</v>
      </c>
    </row>
    <row r="43" spans="3:26" x14ac:dyDescent="0.25">
      <c r="C43" t="s">
        <v>127</v>
      </c>
      <c r="E43">
        <f>3/18*3*C4</f>
        <v>0.5</v>
      </c>
    </row>
    <row r="44" spans="3:26" x14ac:dyDescent="0.25">
      <c r="C44" t="s">
        <v>119</v>
      </c>
      <c r="D44">
        <v>2</v>
      </c>
      <c r="E44">
        <v>0.9</v>
      </c>
      <c r="F44">
        <v>129</v>
      </c>
      <c r="K44" t="s">
        <v>220</v>
      </c>
      <c r="L44">
        <v>2000</v>
      </c>
      <c r="P44" t="s">
        <v>226</v>
      </c>
      <c r="Q44">
        <v>10</v>
      </c>
      <c r="T44" t="s">
        <v>194</v>
      </c>
      <c r="V44" t="s">
        <v>195</v>
      </c>
      <c r="W44" t="s">
        <v>148</v>
      </c>
    </row>
    <row r="45" spans="3:26" x14ac:dyDescent="0.25">
      <c r="C45" t="s">
        <v>110</v>
      </c>
      <c r="E45">
        <v>25</v>
      </c>
      <c r="K45" t="s">
        <v>221</v>
      </c>
      <c r="L45">
        <v>2200</v>
      </c>
      <c r="P45" t="s">
        <v>227</v>
      </c>
      <c r="Q45">
        <f>5+1.67/18*B2*9</f>
        <v>5</v>
      </c>
      <c r="T45" t="s">
        <v>193</v>
      </c>
      <c r="V45">
        <v>329</v>
      </c>
      <c r="W45">
        <v>594</v>
      </c>
    </row>
    <row r="46" spans="3:26" x14ac:dyDescent="0.25">
      <c r="K46" t="s">
        <v>89</v>
      </c>
      <c r="L46">
        <v>4400</v>
      </c>
      <c r="P46" t="s">
        <v>228</v>
      </c>
      <c r="Q46">
        <v>40</v>
      </c>
      <c r="T46" t="s">
        <v>196</v>
      </c>
      <c r="V46">
        <v>339</v>
      </c>
      <c r="W46">
        <v>730</v>
      </c>
    </row>
    <row r="48" spans="3:26" x14ac:dyDescent="0.25">
      <c r="C48" s="2" t="s">
        <v>72</v>
      </c>
      <c r="L48" t="s">
        <v>218</v>
      </c>
      <c r="M48" t="s">
        <v>268</v>
      </c>
      <c r="N48" t="s">
        <v>269</v>
      </c>
    </row>
    <row r="49" spans="4:17" x14ac:dyDescent="0.25">
      <c r="D49">
        <f>D20*$B20</f>
        <v>0</v>
      </c>
      <c r="E49">
        <f>E20*$B20</f>
        <v>0</v>
      </c>
      <c r="F49">
        <f>F20*$B20</f>
        <v>0</v>
      </c>
      <c r="G49">
        <f>G20*$B20</f>
        <v>0</v>
      </c>
      <c r="H49">
        <f>H20*$B20</f>
        <v>0</v>
      </c>
      <c r="K49" t="s">
        <v>25</v>
      </c>
      <c r="L49">
        <f>F8+K95</f>
        <v>0</v>
      </c>
      <c r="M49">
        <f>10-C8</f>
        <v>9</v>
      </c>
      <c r="N49">
        <f>(1-0.01*$Q$46)*M49</f>
        <v>5.3999999999999995</v>
      </c>
    </row>
    <row r="50" spans="4:17" x14ac:dyDescent="0.25">
      <c r="D50">
        <f t="shared" ref="D50:H65" si="4">D21*$B21</f>
        <v>0</v>
      </c>
      <c r="E50">
        <f t="shared" si="4"/>
        <v>0</v>
      </c>
      <c r="F50">
        <f t="shared" si="4"/>
        <v>0</v>
      </c>
      <c r="G50">
        <f t="shared" si="4"/>
        <v>0</v>
      </c>
      <c r="H50">
        <f t="shared" si="4"/>
        <v>0</v>
      </c>
    </row>
    <row r="51" spans="4:17" x14ac:dyDescent="0.25">
      <c r="D51">
        <f t="shared" si="4"/>
        <v>0</v>
      </c>
      <c r="E51">
        <f t="shared" si="4"/>
        <v>0</v>
      </c>
      <c r="F51">
        <f t="shared" si="4"/>
        <v>0</v>
      </c>
      <c r="G51">
        <f t="shared" si="4"/>
        <v>0</v>
      </c>
      <c r="H51">
        <f t="shared" si="4"/>
        <v>0</v>
      </c>
    </row>
    <row r="52" spans="4:17" x14ac:dyDescent="0.25">
      <c r="D52">
        <f t="shared" si="4"/>
        <v>0</v>
      </c>
      <c r="E52">
        <f t="shared" si="4"/>
        <v>0</v>
      </c>
      <c r="F52">
        <f t="shared" si="4"/>
        <v>0</v>
      </c>
      <c r="G52">
        <f t="shared" si="4"/>
        <v>0</v>
      </c>
      <c r="H52">
        <f t="shared" si="4"/>
        <v>0</v>
      </c>
      <c r="K52" t="s">
        <v>29</v>
      </c>
      <c r="M52">
        <f>17-C11</f>
        <v>16</v>
      </c>
    </row>
    <row r="53" spans="4:17" x14ac:dyDescent="0.25">
      <c r="D53">
        <f t="shared" si="4"/>
        <v>0</v>
      </c>
      <c r="E53">
        <f t="shared" si="4"/>
        <v>0</v>
      </c>
      <c r="F53">
        <f t="shared" si="4"/>
        <v>0</v>
      </c>
      <c r="G53">
        <f t="shared" si="4"/>
        <v>0</v>
      </c>
      <c r="H53">
        <f t="shared" si="4"/>
        <v>0</v>
      </c>
    </row>
    <row r="54" spans="4:17" x14ac:dyDescent="0.25">
      <c r="D54">
        <f t="shared" si="4"/>
        <v>0</v>
      </c>
      <c r="E54">
        <f t="shared" si="4"/>
        <v>0</v>
      </c>
      <c r="F54">
        <f t="shared" si="4"/>
        <v>0</v>
      </c>
      <c r="G54">
        <f t="shared" si="4"/>
        <v>0</v>
      </c>
      <c r="H54">
        <f t="shared" si="4"/>
        <v>0</v>
      </c>
    </row>
    <row r="55" spans="4:17" x14ac:dyDescent="0.25">
      <c r="D55">
        <f t="shared" si="4"/>
        <v>0</v>
      </c>
      <c r="E55">
        <f t="shared" si="4"/>
        <v>0</v>
      </c>
      <c r="F55">
        <f t="shared" si="4"/>
        <v>0</v>
      </c>
      <c r="G55">
        <f t="shared" si="4"/>
        <v>0</v>
      </c>
      <c r="H55">
        <f t="shared" si="4"/>
        <v>0</v>
      </c>
      <c r="K55" t="s">
        <v>33</v>
      </c>
      <c r="L55">
        <f>F14</f>
        <v>0</v>
      </c>
      <c r="M55">
        <f>15-C14</f>
        <v>14</v>
      </c>
      <c r="N55">
        <f>(1-0.01*$Q$46)*M55</f>
        <v>8.4</v>
      </c>
    </row>
    <row r="56" spans="4:17" x14ac:dyDescent="0.25">
      <c r="D56">
        <f t="shared" si="4"/>
        <v>0</v>
      </c>
      <c r="E56">
        <f t="shared" si="4"/>
        <v>0</v>
      </c>
      <c r="F56">
        <f t="shared" si="4"/>
        <v>0</v>
      </c>
      <c r="G56">
        <f t="shared" si="4"/>
        <v>0</v>
      </c>
      <c r="H56">
        <f t="shared" si="4"/>
        <v>0</v>
      </c>
    </row>
    <row r="57" spans="4:17" x14ac:dyDescent="0.25">
      <c r="D57">
        <f t="shared" si="4"/>
        <v>0</v>
      </c>
      <c r="E57">
        <f t="shared" si="4"/>
        <v>0</v>
      </c>
      <c r="F57">
        <f t="shared" si="4"/>
        <v>0</v>
      </c>
      <c r="G57">
        <f t="shared" si="4"/>
        <v>0</v>
      </c>
      <c r="H57">
        <f t="shared" si="4"/>
        <v>0</v>
      </c>
    </row>
    <row r="58" spans="4:17" x14ac:dyDescent="0.25">
      <c r="D58">
        <f t="shared" si="4"/>
        <v>0</v>
      </c>
      <c r="E58">
        <f t="shared" si="4"/>
        <v>0</v>
      </c>
      <c r="F58">
        <f t="shared" si="4"/>
        <v>0</v>
      </c>
      <c r="G58">
        <f t="shared" si="4"/>
        <v>0</v>
      </c>
      <c r="H58">
        <f t="shared" si="4"/>
        <v>0</v>
      </c>
    </row>
    <row r="59" spans="4:17" x14ac:dyDescent="0.25">
      <c r="D59">
        <f t="shared" si="4"/>
        <v>0</v>
      </c>
      <c r="E59">
        <f t="shared" si="4"/>
        <v>0</v>
      </c>
      <c r="F59">
        <f t="shared" si="4"/>
        <v>0</v>
      </c>
      <c r="G59">
        <f t="shared" si="4"/>
        <v>0</v>
      </c>
      <c r="H59">
        <f t="shared" si="4"/>
        <v>0</v>
      </c>
    </row>
    <row r="60" spans="4:17" x14ac:dyDescent="0.25">
      <c r="D60">
        <f t="shared" si="4"/>
        <v>0</v>
      </c>
      <c r="E60">
        <f t="shared" si="4"/>
        <v>0</v>
      </c>
      <c r="F60">
        <f t="shared" si="4"/>
        <v>0</v>
      </c>
      <c r="G60">
        <f t="shared" si="4"/>
        <v>0</v>
      </c>
      <c r="H60">
        <f t="shared" si="4"/>
        <v>0</v>
      </c>
    </row>
    <row r="61" spans="4:17" x14ac:dyDescent="0.25">
      <c r="D61">
        <f t="shared" si="4"/>
        <v>0</v>
      </c>
      <c r="E61">
        <f t="shared" si="4"/>
        <v>0</v>
      </c>
      <c r="F61">
        <f t="shared" si="4"/>
        <v>0</v>
      </c>
      <c r="G61">
        <f t="shared" si="4"/>
        <v>0</v>
      </c>
      <c r="H61">
        <f t="shared" si="4"/>
        <v>0</v>
      </c>
    </row>
    <row r="62" spans="4:17" x14ac:dyDescent="0.25">
      <c r="D62">
        <f t="shared" si="4"/>
        <v>0</v>
      </c>
      <c r="E62">
        <f t="shared" si="4"/>
        <v>0</v>
      </c>
      <c r="F62">
        <f t="shared" si="4"/>
        <v>0</v>
      </c>
      <c r="G62">
        <f t="shared" si="4"/>
        <v>0</v>
      </c>
      <c r="H62">
        <f t="shared" si="4"/>
        <v>0</v>
      </c>
    </row>
    <row r="63" spans="4:17" x14ac:dyDescent="0.25">
      <c r="D63">
        <f t="shared" si="4"/>
        <v>0</v>
      </c>
      <c r="E63">
        <f t="shared" si="4"/>
        <v>0</v>
      </c>
      <c r="F63">
        <f t="shared" si="4"/>
        <v>0</v>
      </c>
      <c r="G63">
        <f t="shared" si="4"/>
        <v>0</v>
      </c>
      <c r="H63">
        <f t="shared" si="4"/>
        <v>0</v>
      </c>
      <c r="Q63" t="s">
        <v>377</v>
      </c>
    </row>
    <row r="64" spans="4:17" x14ac:dyDescent="0.25">
      <c r="D64">
        <f t="shared" si="4"/>
        <v>0</v>
      </c>
      <c r="E64">
        <f t="shared" si="4"/>
        <v>0</v>
      </c>
      <c r="F64">
        <f t="shared" si="4"/>
        <v>0</v>
      </c>
      <c r="G64">
        <f t="shared" si="4"/>
        <v>0</v>
      </c>
      <c r="H64">
        <f t="shared" si="4"/>
        <v>0</v>
      </c>
      <c r="L64" t="s">
        <v>287</v>
      </c>
      <c r="M64" t="s">
        <v>133</v>
      </c>
      <c r="Q64" t="s">
        <v>378</v>
      </c>
    </row>
    <row r="65" spans="2:17" x14ac:dyDescent="0.25">
      <c r="D65">
        <f t="shared" si="4"/>
        <v>0</v>
      </c>
      <c r="E65">
        <f t="shared" si="4"/>
        <v>0</v>
      </c>
      <c r="F65">
        <f t="shared" si="4"/>
        <v>0</v>
      </c>
      <c r="G65">
        <f t="shared" si="4"/>
        <v>0</v>
      </c>
      <c r="H65">
        <f t="shared" si="4"/>
        <v>0</v>
      </c>
      <c r="K65" t="s">
        <v>222</v>
      </c>
      <c r="L65">
        <f>L49*3</f>
        <v>0</v>
      </c>
      <c r="M65">
        <f>L65/(N49+3/AA11)</f>
        <v>0</v>
      </c>
      <c r="Q65">
        <f>F14+3*F8+5*S10</f>
        <v>375.47777777777782</v>
      </c>
    </row>
    <row r="66" spans="2:17" x14ac:dyDescent="0.25">
      <c r="D66">
        <f t="shared" ref="D66:H74" si="5">D37*$B37</f>
        <v>0</v>
      </c>
      <c r="E66">
        <f t="shared" si="5"/>
        <v>0</v>
      </c>
      <c r="F66">
        <f t="shared" si="5"/>
        <v>0</v>
      </c>
      <c r="G66">
        <f t="shared" si="5"/>
        <v>0</v>
      </c>
      <c r="H66">
        <f t="shared" si="5"/>
        <v>0</v>
      </c>
      <c r="K66" t="s">
        <v>223</v>
      </c>
    </row>
    <row r="67" spans="2:17" x14ac:dyDescent="0.25">
      <c r="D67">
        <f t="shared" si="5"/>
        <v>0</v>
      </c>
      <c r="E67">
        <f t="shared" si="5"/>
        <v>0</v>
      </c>
      <c r="F67">
        <f t="shared" si="5"/>
        <v>0</v>
      </c>
      <c r="G67">
        <f t="shared" si="5"/>
        <v>0</v>
      </c>
      <c r="H67">
        <f t="shared" si="5"/>
        <v>0</v>
      </c>
      <c r="K67" t="s">
        <v>224</v>
      </c>
      <c r="L67">
        <f>L55</f>
        <v>0</v>
      </c>
      <c r="M67">
        <f>L67/(N55)</f>
        <v>0</v>
      </c>
    </row>
    <row r="68" spans="2:17" x14ac:dyDescent="0.25">
      <c r="D68">
        <f t="shared" si="5"/>
        <v>0</v>
      </c>
      <c r="E68">
        <f t="shared" si="5"/>
        <v>0</v>
      </c>
      <c r="F68">
        <f t="shared" si="5"/>
        <v>0</v>
      </c>
      <c r="G68">
        <f t="shared" si="5"/>
        <v>0</v>
      </c>
      <c r="H68">
        <f t="shared" si="5"/>
        <v>0</v>
      </c>
      <c r="K68" t="s">
        <v>294</v>
      </c>
    </row>
    <row r="69" spans="2:17" x14ac:dyDescent="0.25">
      <c r="D69">
        <f t="shared" si="5"/>
        <v>0</v>
      </c>
      <c r="E69">
        <f t="shared" si="5"/>
        <v>0</v>
      </c>
      <c r="F69">
        <f t="shared" si="5"/>
        <v>0</v>
      </c>
      <c r="G69">
        <f t="shared" si="5"/>
        <v>0</v>
      </c>
      <c r="H69">
        <f t="shared" si="5"/>
        <v>0</v>
      </c>
      <c r="K69" t="s">
        <v>233</v>
      </c>
      <c r="L69">
        <f>SUM(L65:L67)</f>
        <v>0</v>
      </c>
      <c r="M69">
        <f>SUM(M65:M67)</f>
        <v>0</v>
      </c>
    </row>
    <row r="70" spans="2:17" x14ac:dyDescent="0.25">
      <c r="D70">
        <f t="shared" si="5"/>
        <v>0</v>
      </c>
      <c r="E70">
        <f t="shared" si="5"/>
        <v>0</v>
      </c>
      <c r="F70">
        <f t="shared" si="5"/>
        <v>0</v>
      </c>
      <c r="G70">
        <f t="shared" si="5"/>
        <v>0</v>
      </c>
      <c r="H70">
        <f t="shared" si="5"/>
        <v>0</v>
      </c>
      <c r="K70" t="s">
        <v>239</v>
      </c>
      <c r="M70">
        <f>B37*(24+1.5*C4)+B27*(25+C4)</f>
        <v>0</v>
      </c>
    </row>
    <row r="71" spans="2:17" x14ac:dyDescent="0.25">
      <c r="D71">
        <f t="shared" si="5"/>
        <v>0</v>
      </c>
      <c r="E71">
        <f t="shared" si="5"/>
        <v>0</v>
      </c>
      <c r="F71">
        <f t="shared" si="5"/>
        <v>0</v>
      </c>
      <c r="G71">
        <f t="shared" si="5"/>
        <v>0</v>
      </c>
      <c r="H71">
        <f t="shared" si="5"/>
        <v>0</v>
      </c>
      <c r="K71" t="s">
        <v>232</v>
      </c>
      <c r="M71">
        <f>K101</f>
        <v>56.083613755555561</v>
      </c>
    </row>
    <row r="72" spans="2:17" x14ac:dyDescent="0.25">
      <c r="D72">
        <f t="shared" si="5"/>
        <v>0</v>
      </c>
      <c r="E72">
        <f t="shared" si="5"/>
        <v>0</v>
      </c>
      <c r="F72">
        <f t="shared" si="5"/>
        <v>0</v>
      </c>
      <c r="G72">
        <f t="shared" si="5"/>
        <v>0</v>
      </c>
      <c r="H72">
        <f t="shared" si="5"/>
        <v>0</v>
      </c>
      <c r="K72" t="s">
        <v>234</v>
      </c>
      <c r="M72" s="2">
        <f>M71+M69+M70</f>
        <v>56.083613755555561</v>
      </c>
      <c r="Q72" s="2"/>
    </row>
    <row r="73" spans="2:17" x14ac:dyDescent="0.25">
      <c r="D73">
        <f t="shared" si="5"/>
        <v>0</v>
      </c>
      <c r="E73">
        <f t="shared" si="5"/>
        <v>0</v>
      </c>
      <c r="F73">
        <f t="shared" si="5"/>
        <v>0</v>
      </c>
      <c r="G73">
        <f t="shared" si="5"/>
        <v>0</v>
      </c>
      <c r="H73">
        <f t="shared" si="5"/>
        <v>0</v>
      </c>
    </row>
    <row r="74" spans="2:17" x14ac:dyDescent="0.25">
      <c r="D74">
        <f t="shared" si="5"/>
        <v>0</v>
      </c>
      <c r="E74">
        <f t="shared" si="5"/>
        <v>0</v>
      </c>
      <c r="F74">
        <f t="shared" si="5"/>
        <v>0</v>
      </c>
      <c r="G74">
        <f t="shared" si="5"/>
        <v>0</v>
      </c>
      <c r="H74">
        <f t="shared" si="5"/>
        <v>0</v>
      </c>
      <c r="K74" t="s">
        <v>329</v>
      </c>
      <c r="M74">
        <f>B91*M8*2/1.5</f>
        <v>0</v>
      </c>
    </row>
    <row r="75" spans="2:17" x14ac:dyDescent="0.25">
      <c r="C75" s="2" t="s">
        <v>73</v>
      </c>
      <c r="D75">
        <f>SUM(D49:D74)</f>
        <v>0</v>
      </c>
      <c r="E75">
        <f>SUM(E49:E74)</f>
        <v>0</v>
      </c>
      <c r="F75">
        <f>SUM(F49:F74)</f>
        <v>0</v>
      </c>
      <c r="G75">
        <f>SUM(G49:G74)</f>
        <v>0</v>
      </c>
      <c r="H75">
        <f>SUM(H49:H74)</f>
        <v>0</v>
      </c>
      <c r="K75" t="s">
        <v>330</v>
      </c>
      <c r="M75">
        <v>360</v>
      </c>
    </row>
    <row r="76" spans="2:17" x14ac:dyDescent="0.25">
      <c r="K76" t="s">
        <v>234</v>
      </c>
      <c r="M76">
        <f>M75+M74+M72</f>
        <v>416.08361375555558</v>
      </c>
    </row>
    <row r="78" spans="2:17" x14ac:dyDescent="0.25">
      <c r="I78" s="2" t="s">
        <v>40</v>
      </c>
      <c r="J78" s="2" t="s">
        <v>37</v>
      </c>
      <c r="K78" s="2" t="s">
        <v>38</v>
      </c>
      <c r="L78" s="2" t="s">
        <v>41</v>
      </c>
    </row>
    <row r="79" spans="2:17" x14ac:dyDescent="0.25">
      <c r="B79" s="2" t="s">
        <v>35</v>
      </c>
      <c r="C79" s="2" t="s">
        <v>36</v>
      </c>
      <c r="D79" s="2" t="s">
        <v>37</v>
      </c>
      <c r="E79" s="2" t="s">
        <v>38</v>
      </c>
      <c r="F79" s="2" t="s">
        <v>39</v>
      </c>
      <c r="J79">
        <f>D134</f>
        <v>7</v>
      </c>
      <c r="K79">
        <f>E134</f>
        <v>0</v>
      </c>
      <c r="L79">
        <f>F134</f>
        <v>0</v>
      </c>
    </row>
    <row r="80" spans="2:17" x14ac:dyDescent="0.25">
      <c r="C80" t="s">
        <v>43</v>
      </c>
      <c r="D80">
        <v>80</v>
      </c>
      <c r="E80">
        <v>0</v>
      </c>
      <c r="F80">
        <v>0.25</v>
      </c>
    </row>
    <row r="81" spans="2:11" x14ac:dyDescent="0.25">
      <c r="C81" t="s">
        <v>44</v>
      </c>
      <c r="D81">
        <v>0</v>
      </c>
      <c r="E81">
        <v>0.5</v>
      </c>
      <c r="F81">
        <v>0.3</v>
      </c>
      <c r="I81" t="s">
        <v>12</v>
      </c>
      <c r="K81">
        <f>AA10</f>
        <v>0.74682999999999999</v>
      </c>
    </row>
    <row r="82" spans="2:11" x14ac:dyDescent="0.25">
      <c r="C82" t="s">
        <v>45</v>
      </c>
      <c r="E82">
        <v>0.4</v>
      </c>
      <c r="F82">
        <v>0.2</v>
      </c>
    </row>
    <row r="83" spans="2:11" x14ac:dyDescent="0.25">
      <c r="C83" t="s">
        <v>46</v>
      </c>
      <c r="D83">
        <v>40</v>
      </c>
      <c r="E83">
        <v>0</v>
      </c>
      <c r="F83">
        <v>0</v>
      </c>
      <c r="I83" t="s">
        <v>48</v>
      </c>
      <c r="K83">
        <v>2.5</v>
      </c>
    </row>
    <row r="84" spans="2:11" x14ac:dyDescent="0.25">
      <c r="C84" t="s">
        <v>47</v>
      </c>
      <c r="D84">
        <v>80</v>
      </c>
      <c r="E84">
        <v>0</v>
      </c>
      <c r="F84">
        <v>0</v>
      </c>
    </row>
    <row r="85" spans="2:11" x14ac:dyDescent="0.25">
      <c r="C85" t="s">
        <v>49</v>
      </c>
      <c r="D85">
        <v>80</v>
      </c>
      <c r="I85" t="s">
        <v>51</v>
      </c>
      <c r="K85">
        <f>S10</f>
        <v>75.095555555555563</v>
      </c>
    </row>
    <row r="86" spans="2:11" x14ac:dyDescent="0.25">
      <c r="B86">
        <v>1</v>
      </c>
      <c r="C86" t="s">
        <v>50</v>
      </c>
      <c r="D86">
        <v>7</v>
      </c>
      <c r="I86" t="s">
        <v>53</v>
      </c>
      <c r="K86">
        <f>K85*(1+1.5*L79)</f>
        <v>75.095555555555563</v>
      </c>
    </row>
    <row r="87" spans="2:11" x14ac:dyDescent="0.25">
      <c r="C87" t="s">
        <v>52</v>
      </c>
      <c r="D87">
        <v>25</v>
      </c>
      <c r="E87">
        <v>0.5</v>
      </c>
      <c r="I87" t="s">
        <v>55</v>
      </c>
      <c r="K87">
        <f>K85*IF(B80,2.5,2)</f>
        <v>150.19111111111113</v>
      </c>
    </row>
    <row r="88" spans="2:11" x14ac:dyDescent="0.25">
      <c r="C88" t="s">
        <v>54</v>
      </c>
      <c r="D88">
        <v>25</v>
      </c>
      <c r="E88">
        <v>0.4</v>
      </c>
      <c r="F88">
        <v>0</v>
      </c>
    </row>
    <row r="89" spans="2:11" x14ac:dyDescent="0.25">
      <c r="C89" t="s">
        <v>56</v>
      </c>
      <c r="D89">
        <v>30</v>
      </c>
      <c r="E89">
        <v>0</v>
      </c>
      <c r="F89">
        <v>0.15</v>
      </c>
      <c r="I89" t="s">
        <v>58</v>
      </c>
      <c r="K89">
        <f>S10*K81</f>
        <v>56.083613755555561</v>
      </c>
    </row>
    <row r="90" spans="2:11" x14ac:dyDescent="0.25">
      <c r="C90" t="s">
        <v>57</v>
      </c>
      <c r="E90">
        <v>0.2</v>
      </c>
      <c r="I90" t="s">
        <v>201</v>
      </c>
      <c r="K90">
        <f>B92*40*K81</f>
        <v>0</v>
      </c>
    </row>
    <row r="91" spans="2:11" x14ac:dyDescent="0.25">
      <c r="C91" t="s">
        <v>59</v>
      </c>
      <c r="D91">
        <v>30</v>
      </c>
      <c r="E91">
        <v>0.3</v>
      </c>
      <c r="F91">
        <v>0.1</v>
      </c>
      <c r="I91" t="s">
        <v>60</v>
      </c>
      <c r="K91">
        <f>K89*(1+1.5*L79)</f>
        <v>56.083613755555561</v>
      </c>
    </row>
    <row r="92" spans="2:11" x14ac:dyDescent="0.25">
      <c r="C92" t="s">
        <v>198</v>
      </c>
      <c r="E92">
        <v>0.5</v>
      </c>
    </row>
    <row r="93" spans="2:11" x14ac:dyDescent="0.25">
      <c r="C93" t="s">
        <v>199</v>
      </c>
      <c r="D93">
        <v>45</v>
      </c>
      <c r="I93" t="s">
        <v>202</v>
      </c>
      <c r="K93">
        <f>K91+K90</f>
        <v>56.083613755555561</v>
      </c>
    </row>
    <row r="94" spans="2:11" x14ac:dyDescent="0.25">
      <c r="C94" t="s">
        <v>61</v>
      </c>
      <c r="D94">
        <v>20</v>
      </c>
    </row>
    <row r="95" spans="2:11" x14ac:dyDescent="0.25">
      <c r="C95" t="s">
        <v>62</v>
      </c>
      <c r="D95">
        <v>60</v>
      </c>
    </row>
    <row r="96" spans="2:11" x14ac:dyDescent="0.25">
      <c r="C96" t="s">
        <v>63</v>
      </c>
      <c r="D96">
        <v>25</v>
      </c>
      <c r="I96" t="s">
        <v>200</v>
      </c>
      <c r="K96">
        <f>AA11</f>
        <v>0.74682999999999999</v>
      </c>
    </row>
    <row r="97" spans="3:11" x14ac:dyDescent="0.25">
      <c r="C97" t="s">
        <v>64</v>
      </c>
      <c r="D97">
        <v>50</v>
      </c>
      <c r="I97" t="s">
        <v>203</v>
      </c>
      <c r="K97">
        <f>S10*K96</f>
        <v>56.083613755555561</v>
      </c>
    </row>
    <row r="98" spans="3:11" x14ac:dyDescent="0.25">
      <c r="C98" t="s">
        <v>65</v>
      </c>
      <c r="D98">
        <v>25</v>
      </c>
      <c r="I98" t="s">
        <v>204</v>
      </c>
      <c r="K98">
        <f>K97*(1+1.5*L79)</f>
        <v>56.083613755555561</v>
      </c>
    </row>
    <row r="99" spans="3:11" x14ac:dyDescent="0.25">
      <c r="C99" t="s">
        <v>66</v>
      </c>
      <c r="D99">
        <v>25</v>
      </c>
      <c r="I99" t="s">
        <v>205</v>
      </c>
      <c r="K99">
        <f>B92*40*K96</f>
        <v>0</v>
      </c>
    </row>
    <row r="100" spans="3:11" x14ac:dyDescent="0.25">
      <c r="C100" t="s">
        <v>67</v>
      </c>
      <c r="D100">
        <v>40</v>
      </c>
    </row>
    <row r="101" spans="3:11" x14ac:dyDescent="0.25">
      <c r="C101" t="s">
        <v>68</v>
      </c>
      <c r="D101">
        <v>75</v>
      </c>
      <c r="I101" t="s">
        <v>206</v>
      </c>
      <c r="K101">
        <f>K99+K98</f>
        <v>56.083613755555561</v>
      </c>
    </row>
    <row r="102" spans="3:11" x14ac:dyDescent="0.25">
      <c r="C102" t="s">
        <v>69</v>
      </c>
      <c r="D102">
        <v>10</v>
      </c>
    </row>
    <row r="103" spans="3:11" x14ac:dyDescent="0.25">
      <c r="C103" t="s">
        <v>70</v>
      </c>
      <c r="D103">
        <v>25</v>
      </c>
    </row>
    <row r="104" spans="3:11" x14ac:dyDescent="0.25">
      <c r="C104" t="s">
        <v>71</v>
      </c>
      <c r="D104">
        <v>50</v>
      </c>
    </row>
    <row r="108" spans="3:11" x14ac:dyDescent="0.25">
      <c r="C108" s="2" t="s">
        <v>72</v>
      </c>
    </row>
    <row r="109" spans="3:11" x14ac:dyDescent="0.25">
      <c r="D109">
        <f t="shared" ref="D109:D133" si="6">D80*B80</f>
        <v>0</v>
      </c>
      <c r="E109">
        <f t="shared" ref="E109:E133" si="7">E80*B80</f>
        <v>0</v>
      </c>
      <c r="F109">
        <f t="shared" ref="F109:F133" si="8">F80*B80</f>
        <v>0</v>
      </c>
    </row>
    <row r="110" spans="3:11" x14ac:dyDescent="0.25">
      <c r="D110">
        <f t="shared" si="6"/>
        <v>0</v>
      </c>
      <c r="E110">
        <f t="shared" si="7"/>
        <v>0</v>
      </c>
      <c r="F110">
        <f t="shared" si="8"/>
        <v>0</v>
      </c>
    </row>
    <row r="111" spans="3:11" x14ac:dyDescent="0.25">
      <c r="D111">
        <f t="shared" si="6"/>
        <v>0</v>
      </c>
      <c r="E111">
        <f t="shared" si="7"/>
        <v>0</v>
      </c>
      <c r="F111">
        <f t="shared" si="8"/>
        <v>0</v>
      </c>
    </row>
    <row r="112" spans="3:11" x14ac:dyDescent="0.25">
      <c r="D112">
        <f t="shared" si="6"/>
        <v>0</v>
      </c>
      <c r="E112">
        <f t="shared" si="7"/>
        <v>0</v>
      </c>
      <c r="F112">
        <f t="shared" si="8"/>
        <v>0</v>
      </c>
    </row>
    <row r="113" spans="4:6" x14ac:dyDescent="0.25">
      <c r="D113">
        <f t="shared" si="6"/>
        <v>0</v>
      </c>
      <c r="E113">
        <f t="shared" si="7"/>
        <v>0</v>
      </c>
      <c r="F113">
        <f t="shared" si="8"/>
        <v>0</v>
      </c>
    </row>
    <row r="114" spans="4:6" x14ac:dyDescent="0.25">
      <c r="D114">
        <f t="shared" si="6"/>
        <v>0</v>
      </c>
      <c r="E114">
        <f t="shared" si="7"/>
        <v>0</v>
      </c>
      <c r="F114">
        <f t="shared" si="8"/>
        <v>0</v>
      </c>
    </row>
    <row r="115" spans="4:6" x14ac:dyDescent="0.25">
      <c r="D115">
        <f t="shared" si="6"/>
        <v>7</v>
      </c>
      <c r="E115">
        <f t="shared" si="7"/>
        <v>0</v>
      </c>
      <c r="F115">
        <f t="shared" si="8"/>
        <v>0</v>
      </c>
    </row>
    <row r="116" spans="4:6" x14ac:dyDescent="0.25">
      <c r="D116">
        <f t="shared" si="6"/>
        <v>0</v>
      </c>
      <c r="E116">
        <f t="shared" si="7"/>
        <v>0</v>
      </c>
      <c r="F116">
        <f t="shared" si="8"/>
        <v>0</v>
      </c>
    </row>
    <row r="117" spans="4:6" x14ac:dyDescent="0.25">
      <c r="D117">
        <f t="shared" si="6"/>
        <v>0</v>
      </c>
      <c r="E117">
        <f t="shared" si="7"/>
        <v>0</v>
      </c>
      <c r="F117">
        <f t="shared" si="8"/>
        <v>0</v>
      </c>
    </row>
    <row r="118" spans="4:6" x14ac:dyDescent="0.25">
      <c r="D118">
        <f t="shared" si="6"/>
        <v>0</v>
      </c>
      <c r="E118">
        <f t="shared" si="7"/>
        <v>0</v>
      </c>
      <c r="F118">
        <f t="shared" si="8"/>
        <v>0</v>
      </c>
    </row>
    <row r="119" spans="4:6" x14ac:dyDescent="0.25">
      <c r="D119">
        <f t="shared" si="6"/>
        <v>0</v>
      </c>
      <c r="E119">
        <f t="shared" si="7"/>
        <v>0</v>
      </c>
      <c r="F119">
        <f t="shared" si="8"/>
        <v>0</v>
      </c>
    </row>
    <row r="120" spans="4:6" x14ac:dyDescent="0.25">
      <c r="D120">
        <f t="shared" si="6"/>
        <v>0</v>
      </c>
      <c r="E120">
        <f t="shared" si="7"/>
        <v>0</v>
      </c>
      <c r="F120">
        <f t="shared" si="8"/>
        <v>0</v>
      </c>
    </row>
    <row r="121" spans="4:6" x14ac:dyDescent="0.25">
      <c r="D121">
        <f t="shared" si="6"/>
        <v>0</v>
      </c>
      <c r="E121">
        <f t="shared" si="7"/>
        <v>0</v>
      </c>
      <c r="F121">
        <f t="shared" si="8"/>
        <v>0</v>
      </c>
    </row>
    <row r="122" spans="4:6" x14ac:dyDescent="0.25">
      <c r="D122">
        <f t="shared" si="6"/>
        <v>0</v>
      </c>
      <c r="E122">
        <f t="shared" si="7"/>
        <v>0</v>
      </c>
      <c r="F122">
        <f t="shared" si="8"/>
        <v>0</v>
      </c>
    </row>
    <row r="123" spans="4:6" x14ac:dyDescent="0.25">
      <c r="D123">
        <f t="shared" si="6"/>
        <v>0</v>
      </c>
      <c r="E123">
        <f t="shared" si="7"/>
        <v>0</v>
      </c>
      <c r="F123">
        <f t="shared" si="8"/>
        <v>0</v>
      </c>
    </row>
    <row r="124" spans="4:6" x14ac:dyDescent="0.25">
      <c r="D124">
        <f t="shared" si="6"/>
        <v>0</v>
      </c>
      <c r="E124">
        <f t="shared" si="7"/>
        <v>0</v>
      </c>
      <c r="F124">
        <f t="shared" si="8"/>
        <v>0</v>
      </c>
    </row>
    <row r="125" spans="4:6" x14ac:dyDescent="0.25">
      <c r="D125">
        <f t="shared" si="6"/>
        <v>0</v>
      </c>
      <c r="E125">
        <f t="shared" si="7"/>
        <v>0</v>
      </c>
      <c r="F125">
        <f t="shared" si="8"/>
        <v>0</v>
      </c>
    </row>
    <row r="126" spans="4:6" x14ac:dyDescent="0.25">
      <c r="D126">
        <f t="shared" si="6"/>
        <v>0</v>
      </c>
      <c r="E126">
        <f t="shared" si="7"/>
        <v>0</v>
      </c>
      <c r="F126">
        <f t="shared" si="8"/>
        <v>0</v>
      </c>
    </row>
    <row r="127" spans="4:6" x14ac:dyDescent="0.25">
      <c r="D127">
        <f t="shared" si="6"/>
        <v>0</v>
      </c>
      <c r="E127">
        <f t="shared" si="7"/>
        <v>0</v>
      </c>
      <c r="F127">
        <f t="shared" si="8"/>
        <v>0</v>
      </c>
    </row>
    <row r="128" spans="4:6" x14ac:dyDescent="0.25">
      <c r="D128">
        <f t="shared" si="6"/>
        <v>0</v>
      </c>
      <c r="E128">
        <f t="shared" si="7"/>
        <v>0</v>
      </c>
      <c r="F128">
        <f t="shared" si="8"/>
        <v>0</v>
      </c>
    </row>
    <row r="129" spans="3:6" x14ac:dyDescent="0.25">
      <c r="D129">
        <f t="shared" si="6"/>
        <v>0</v>
      </c>
      <c r="E129">
        <f t="shared" si="7"/>
        <v>0</v>
      </c>
      <c r="F129">
        <f t="shared" si="8"/>
        <v>0</v>
      </c>
    </row>
    <row r="130" spans="3:6" x14ac:dyDescent="0.25">
      <c r="D130">
        <f t="shared" si="6"/>
        <v>0</v>
      </c>
      <c r="E130">
        <f t="shared" si="7"/>
        <v>0</v>
      </c>
      <c r="F130">
        <f t="shared" si="8"/>
        <v>0</v>
      </c>
    </row>
    <row r="131" spans="3:6" x14ac:dyDescent="0.25">
      <c r="D131">
        <f t="shared" si="6"/>
        <v>0</v>
      </c>
      <c r="E131">
        <f t="shared" si="7"/>
        <v>0</v>
      </c>
      <c r="F131">
        <f t="shared" si="8"/>
        <v>0</v>
      </c>
    </row>
    <row r="132" spans="3:6" x14ac:dyDescent="0.25">
      <c r="D132">
        <f t="shared" si="6"/>
        <v>0</v>
      </c>
      <c r="E132">
        <f t="shared" si="7"/>
        <v>0</v>
      </c>
      <c r="F132">
        <f t="shared" si="8"/>
        <v>0</v>
      </c>
    </row>
    <row r="133" spans="3:6" x14ac:dyDescent="0.25">
      <c r="D133">
        <f t="shared" si="6"/>
        <v>0</v>
      </c>
      <c r="E133">
        <f t="shared" si="7"/>
        <v>0</v>
      </c>
      <c r="F133">
        <f t="shared" si="8"/>
        <v>0</v>
      </c>
    </row>
    <row r="134" spans="3:6" x14ac:dyDescent="0.25">
      <c r="C134" s="2" t="s">
        <v>73</v>
      </c>
      <c r="D134">
        <f>SUM(D109:D133)</f>
        <v>7</v>
      </c>
      <c r="E134">
        <f>SUM(E109:E133)</f>
        <v>0</v>
      </c>
      <c r="F134">
        <f>SUM(F109:F133)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AB134"/>
  <sheetViews>
    <sheetView zoomScaleNormal="100" workbookViewId="0">
      <selection activeCell="B24" sqref="B24"/>
    </sheetView>
  </sheetViews>
  <sheetFormatPr defaultRowHeight="15" x14ac:dyDescent="0.25"/>
  <cols>
    <col min="3" max="3" width="19.5703125" customWidth="1"/>
  </cols>
  <sheetData>
    <row r="3" spans="2:28" x14ac:dyDescent="0.25">
      <c r="B3" t="s">
        <v>156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R3" t="s">
        <v>4</v>
      </c>
      <c r="U3" t="s">
        <v>5</v>
      </c>
      <c r="X3" t="s">
        <v>134</v>
      </c>
      <c r="Z3" t="s">
        <v>157</v>
      </c>
    </row>
    <row r="4" spans="2:28" x14ac:dyDescent="0.25">
      <c r="B4" t="s">
        <v>6</v>
      </c>
      <c r="C4">
        <v>18</v>
      </c>
      <c r="E4" t="s">
        <v>124</v>
      </c>
      <c r="F4">
        <v>17.000000000000004</v>
      </c>
      <c r="H4" t="s">
        <v>7</v>
      </c>
      <c r="I4">
        <v>591.16</v>
      </c>
      <c r="J4">
        <v>87</v>
      </c>
      <c r="L4" t="s">
        <v>7</v>
      </c>
      <c r="M4">
        <f>I4+J4*$F$4</f>
        <v>2070.1600000000003</v>
      </c>
      <c r="O4" t="s">
        <v>9</v>
      </c>
      <c r="P4">
        <f>J79+M8</f>
        <v>278.64400000000001</v>
      </c>
      <c r="Q4">
        <v>1</v>
      </c>
      <c r="R4" t="s">
        <v>10</v>
      </c>
      <c r="S4">
        <f>Q4*(4+10/18*C4)</f>
        <v>14</v>
      </c>
      <c r="U4" t="s">
        <v>10</v>
      </c>
      <c r="V4">
        <v>0</v>
      </c>
      <c r="X4">
        <v>1000</v>
      </c>
      <c r="Z4" t="s">
        <v>19</v>
      </c>
      <c r="AA4">
        <f>I9</f>
        <v>0.67200000000000004</v>
      </c>
    </row>
    <row r="5" spans="2:28" x14ac:dyDescent="0.25">
      <c r="H5" t="s">
        <v>120</v>
      </c>
      <c r="I5">
        <v>8.1750000000000007</v>
      </c>
      <c r="J5">
        <v>0.7</v>
      </c>
      <c r="L5" t="s">
        <v>120</v>
      </c>
      <c r="M5">
        <f t="shared" ref="M5:M12" si="0">I5+J5*$F$4</f>
        <v>20.075000000000003</v>
      </c>
      <c r="O5" t="s">
        <v>12</v>
      </c>
      <c r="P5">
        <f>M9+I9*K79</f>
        <v>1.9204000000000001</v>
      </c>
      <c r="R5" t="s">
        <v>13</v>
      </c>
      <c r="U5" t="s">
        <v>13</v>
      </c>
      <c r="V5">
        <v>0</v>
      </c>
      <c r="Z5" t="s">
        <v>168</v>
      </c>
      <c r="AA5">
        <f>F4*J9</f>
        <v>0.44200000000000006</v>
      </c>
    </row>
    <row r="6" spans="2:28" x14ac:dyDescent="0.25">
      <c r="H6" t="s">
        <v>121</v>
      </c>
      <c r="I6">
        <v>273.8</v>
      </c>
      <c r="J6">
        <v>35</v>
      </c>
      <c r="L6" t="s">
        <v>121</v>
      </c>
      <c r="M6">
        <f t="shared" si="0"/>
        <v>868.80000000000018</v>
      </c>
      <c r="R6" t="s">
        <v>16</v>
      </c>
      <c r="S6">
        <f>J79</f>
        <v>165</v>
      </c>
      <c r="U6" t="s">
        <v>16</v>
      </c>
      <c r="V6">
        <v>0</v>
      </c>
      <c r="Z6" t="s">
        <v>10</v>
      </c>
      <c r="AA6">
        <v>0.05</v>
      </c>
    </row>
    <row r="7" spans="2:28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I7">
        <v>7.2549999999999999</v>
      </c>
      <c r="J7">
        <v>0.45</v>
      </c>
      <c r="L7" t="s">
        <v>122</v>
      </c>
      <c r="M7">
        <f t="shared" si="0"/>
        <v>14.905000000000001</v>
      </c>
      <c r="O7" t="s">
        <v>7</v>
      </c>
      <c r="P7">
        <f>M4+L20</f>
        <v>2720.1600000000003</v>
      </c>
      <c r="R7" s="2"/>
      <c r="Z7" t="s">
        <v>158</v>
      </c>
      <c r="AA7">
        <v>0.28999999999999998</v>
      </c>
    </row>
    <row r="8" spans="2:28" x14ac:dyDescent="0.25">
      <c r="B8" t="s">
        <v>25</v>
      </c>
      <c r="C8">
        <v>5</v>
      </c>
      <c r="D8">
        <f>15*C8</f>
        <v>75</v>
      </c>
      <c r="E8">
        <f>0.2*S10</f>
        <v>58.528800000000004</v>
      </c>
      <c r="F8">
        <f>E8+D8</f>
        <v>133.52879999999999</v>
      </c>
      <c r="H8" t="s">
        <v>8</v>
      </c>
      <c r="I8">
        <v>57.543999999999997</v>
      </c>
      <c r="J8">
        <v>3.3</v>
      </c>
      <c r="L8" t="s">
        <v>8</v>
      </c>
      <c r="M8">
        <f t="shared" si="0"/>
        <v>113.64400000000001</v>
      </c>
      <c r="O8" t="s">
        <v>120</v>
      </c>
      <c r="P8">
        <f>(M5+M5*M20+N20+V17*0.01)*(1+0.2*B28)</f>
        <v>48.452648000000011</v>
      </c>
      <c r="R8" t="s">
        <v>26</v>
      </c>
      <c r="S8">
        <f>SUM(S4:S7)</f>
        <v>179</v>
      </c>
      <c r="U8" t="s">
        <v>26</v>
      </c>
      <c r="V8">
        <f>SUM(V4:V7)</f>
        <v>0</v>
      </c>
      <c r="Z8" t="s">
        <v>159</v>
      </c>
      <c r="AA8">
        <f>K79</f>
        <v>1.2</v>
      </c>
    </row>
    <row r="9" spans="2:28" x14ac:dyDescent="0.25">
      <c r="H9" t="s">
        <v>14</v>
      </c>
      <c r="I9">
        <v>0.67200000000000004</v>
      </c>
      <c r="J9">
        <v>2.5999999999999999E-2</v>
      </c>
      <c r="L9" t="s">
        <v>14</v>
      </c>
      <c r="M9">
        <f t="shared" si="0"/>
        <v>1.1140000000000001</v>
      </c>
      <c r="O9" t="s">
        <v>15</v>
      </c>
      <c r="P9">
        <f>M10+J20</f>
        <v>85.38000000000001</v>
      </c>
    </row>
    <row r="10" spans="2:28" x14ac:dyDescent="0.25">
      <c r="H10" t="s">
        <v>15</v>
      </c>
      <c r="I10">
        <v>25.88</v>
      </c>
      <c r="J10">
        <v>3.5</v>
      </c>
      <c r="L10" t="s">
        <v>15</v>
      </c>
      <c r="M10">
        <f t="shared" si="0"/>
        <v>85.38000000000001</v>
      </c>
      <c r="O10" t="s">
        <v>23</v>
      </c>
      <c r="P10">
        <f>M11+K20</f>
        <v>53.350000000000009</v>
      </c>
      <c r="R10" t="s">
        <v>31</v>
      </c>
      <c r="S10">
        <f>S8+M8</f>
        <v>292.64400000000001</v>
      </c>
      <c r="U10" t="s">
        <v>32</v>
      </c>
      <c r="V10">
        <f>V8</f>
        <v>0</v>
      </c>
      <c r="Z10" t="s">
        <v>160</v>
      </c>
      <c r="AA10">
        <f>(1+SUM(AA5:AA8))*AA4</f>
        <v>2.0039040000000004</v>
      </c>
    </row>
    <row r="11" spans="2:28" x14ac:dyDescent="0.25">
      <c r="B11" t="s">
        <v>29</v>
      </c>
      <c r="C11">
        <v>5</v>
      </c>
      <c r="D11">
        <f>0.3+0.1*C11</f>
        <v>0.8</v>
      </c>
      <c r="F11">
        <f>E11+D11</f>
        <v>0.8</v>
      </c>
      <c r="H11" t="s">
        <v>23</v>
      </c>
      <c r="I11">
        <v>32.1</v>
      </c>
      <c r="J11">
        <v>1.25</v>
      </c>
      <c r="L11" t="s">
        <v>23</v>
      </c>
      <c r="M11">
        <f t="shared" si="0"/>
        <v>53.350000000000009</v>
      </c>
      <c r="Z11" t="s">
        <v>167</v>
      </c>
      <c r="AA11">
        <f>MIN((1++F11+SUM(AA5:AA8))*AA4, 2.5)</f>
        <v>2.5</v>
      </c>
    </row>
    <row r="12" spans="2:28" x14ac:dyDescent="0.25">
      <c r="D12">
        <f>20+6*C11</f>
        <v>50</v>
      </c>
      <c r="E12">
        <f>0.7*V10</f>
        <v>0</v>
      </c>
      <c r="F12">
        <f>E12+D12</f>
        <v>50</v>
      </c>
      <c r="H12" t="s">
        <v>123</v>
      </c>
      <c r="I12">
        <v>345</v>
      </c>
      <c r="L12" t="s">
        <v>123</v>
      </c>
      <c r="M12">
        <f t="shared" si="0"/>
        <v>345</v>
      </c>
      <c r="O12" t="s">
        <v>91</v>
      </c>
      <c r="R12" t="s">
        <v>86</v>
      </c>
      <c r="U12" t="s">
        <v>88</v>
      </c>
      <c r="X12" t="s">
        <v>95</v>
      </c>
    </row>
    <row r="13" spans="2:28" x14ac:dyDescent="0.25">
      <c r="O13" t="s">
        <v>92</v>
      </c>
      <c r="P13">
        <v>1</v>
      </c>
      <c r="R13" t="s">
        <v>2</v>
      </c>
      <c r="S13">
        <f>M10</f>
        <v>85.38000000000001</v>
      </c>
      <c r="U13" t="s">
        <v>2</v>
      </c>
      <c r="V13">
        <f>M4</f>
        <v>2070.1600000000003</v>
      </c>
      <c r="X13" t="s">
        <v>2</v>
      </c>
      <c r="Y13">
        <f>M11</f>
        <v>53.350000000000009</v>
      </c>
    </row>
    <row r="14" spans="2:28" x14ac:dyDescent="0.25">
      <c r="B14" t="s">
        <v>33</v>
      </c>
      <c r="C14">
        <v>5</v>
      </c>
      <c r="D14">
        <f>35+35*C14</f>
        <v>210</v>
      </c>
      <c r="E14">
        <f>0.6*V10</f>
        <v>0</v>
      </c>
      <c r="F14">
        <f>E14+D14</f>
        <v>210</v>
      </c>
      <c r="O14" t="s">
        <v>93</v>
      </c>
      <c r="P14">
        <v>1</v>
      </c>
      <c r="R14" t="s">
        <v>10</v>
      </c>
      <c r="S14">
        <v>0</v>
      </c>
      <c r="U14" t="s">
        <v>16</v>
      </c>
      <c r="V14">
        <f>L20</f>
        <v>650</v>
      </c>
      <c r="X14" t="s">
        <v>10</v>
      </c>
      <c r="Y14">
        <v>0</v>
      </c>
    </row>
    <row r="15" spans="2:28" x14ac:dyDescent="0.25">
      <c r="O15" t="s">
        <v>94</v>
      </c>
      <c r="P15">
        <v>3</v>
      </c>
      <c r="R15" t="s">
        <v>13</v>
      </c>
      <c r="S15">
        <v>9</v>
      </c>
      <c r="U15" t="s">
        <v>10</v>
      </c>
      <c r="V15">
        <f>36+0.03*(V13+V14)*P14</f>
        <v>117.60480000000001</v>
      </c>
      <c r="X15" t="s">
        <v>13</v>
      </c>
      <c r="Y15">
        <f>AB15+AB16*3*C4/18</f>
        <v>27</v>
      </c>
      <c r="AA15" t="s">
        <v>386</v>
      </c>
      <c r="AB15">
        <v>0</v>
      </c>
    </row>
    <row r="16" spans="2:28" x14ac:dyDescent="0.25">
      <c r="B16" t="s">
        <v>34</v>
      </c>
      <c r="C16">
        <v>3</v>
      </c>
      <c r="D16">
        <f>-25+100*C16</f>
        <v>275</v>
      </c>
      <c r="E16">
        <f>S8+0.15*E17</f>
        <v>419</v>
      </c>
      <c r="F16">
        <f>E16+D16</f>
        <v>694</v>
      </c>
      <c r="R16" t="s">
        <v>16</v>
      </c>
      <c r="S16">
        <f>J20</f>
        <v>0</v>
      </c>
      <c r="X16" t="s">
        <v>16</v>
      </c>
      <c r="Y16">
        <f>K20</f>
        <v>0</v>
      </c>
      <c r="AA16" t="s">
        <v>387</v>
      </c>
      <c r="AB16">
        <v>9</v>
      </c>
    </row>
    <row r="17" spans="2:26" x14ac:dyDescent="0.25">
      <c r="D17" t="s">
        <v>128</v>
      </c>
      <c r="E17">
        <v>1600</v>
      </c>
      <c r="R17" s="2"/>
      <c r="S17" s="2"/>
      <c r="U17" t="s">
        <v>89</v>
      </c>
      <c r="V17">
        <f>SUM(V13:V15)</f>
        <v>2837.7648000000004</v>
      </c>
    </row>
    <row r="18" spans="2:26" x14ac:dyDescent="0.25">
      <c r="J18" s="2" t="s">
        <v>40</v>
      </c>
      <c r="R18" t="s">
        <v>10</v>
      </c>
      <c r="S18">
        <f>P13*0.025*SUM(S14:S17)</f>
        <v>0.22500000000000001</v>
      </c>
      <c r="X18" t="s">
        <v>10</v>
      </c>
      <c r="Y18">
        <f>P13*0.025*SUM(Y14:Y17)</f>
        <v>0.67500000000000004</v>
      </c>
    </row>
    <row r="19" spans="2:26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</row>
    <row r="20" spans="2:26" x14ac:dyDescent="0.25">
      <c r="C20" t="s">
        <v>74</v>
      </c>
      <c r="F20">
        <v>1000</v>
      </c>
      <c r="J20">
        <f>D75</f>
        <v>0</v>
      </c>
      <c r="K20">
        <f>E75</f>
        <v>0</v>
      </c>
      <c r="L20">
        <f>F75*(1+0.25*B34)</f>
        <v>650</v>
      </c>
      <c r="M20">
        <f>G75</f>
        <v>0</v>
      </c>
      <c r="N20">
        <f>H75</f>
        <v>0</v>
      </c>
      <c r="R20" t="s">
        <v>90</v>
      </c>
      <c r="S20">
        <f>SUM(S13:S18)</f>
        <v>94.605000000000004</v>
      </c>
      <c r="X20" t="s">
        <v>96</v>
      </c>
      <c r="Y20">
        <f>SUM(Y13:Y18)</f>
        <v>81.025000000000006</v>
      </c>
    </row>
    <row r="21" spans="2:26" x14ac:dyDescent="0.25">
      <c r="C21" t="s">
        <v>117</v>
      </c>
      <c r="F21">
        <v>800</v>
      </c>
      <c r="H21">
        <f>V17*0.03</f>
        <v>85.132944000000009</v>
      </c>
    </row>
    <row r="22" spans="2:26" x14ac:dyDescent="0.25">
      <c r="C22" t="s">
        <v>75</v>
      </c>
      <c r="F22">
        <v>700</v>
      </c>
      <c r="J22" s="2" t="s">
        <v>42</v>
      </c>
      <c r="L22" s="2" t="s">
        <v>130</v>
      </c>
      <c r="R22" t="s">
        <v>98</v>
      </c>
      <c r="S22" t="s">
        <v>99</v>
      </c>
      <c r="U22" t="s">
        <v>100</v>
      </c>
      <c r="V22" t="s">
        <v>101</v>
      </c>
      <c r="W22">
        <v>4.1900000000000004</v>
      </c>
      <c r="Y22" t="s">
        <v>118</v>
      </c>
    </row>
    <row r="23" spans="2:26" x14ac:dyDescent="0.25">
      <c r="C23" t="s">
        <v>80</v>
      </c>
      <c r="F23">
        <v>650</v>
      </c>
      <c r="J23" t="s">
        <v>25</v>
      </c>
      <c r="N23">
        <f>F8*3</f>
        <v>400.58639999999997</v>
      </c>
      <c r="P23" s="2" t="s">
        <v>97</v>
      </c>
      <c r="R23">
        <v>0</v>
      </c>
      <c r="S23">
        <v>0.06</v>
      </c>
      <c r="U23">
        <f>$S$20*(1-S23)-R23</f>
        <v>88.928699999999992</v>
      </c>
      <c r="V23">
        <f>$V$17*(100+U23)/100</f>
        <v>5361.3521456976005</v>
      </c>
      <c r="W23">
        <v>20715.592674699998</v>
      </c>
      <c r="Y23">
        <f>($V$17+$B$29*(50+10*$C$4))*(100+U23)/100</f>
        <v>5361.3521456976005</v>
      </c>
      <c r="Z23">
        <f>Y23/W23</f>
        <v>0.258807567318382</v>
      </c>
    </row>
    <row r="24" spans="2:26" x14ac:dyDescent="0.25">
      <c r="C24" t="s">
        <v>76</v>
      </c>
      <c r="D24">
        <v>70</v>
      </c>
      <c r="F24">
        <v>500</v>
      </c>
      <c r="J24" t="s">
        <v>29</v>
      </c>
      <c r="R24">
        <v>0</v>
      </c>
      <c r="S24">
        <v>0.38900000000000001</v>
      </c>
      <c r="U24">
        <f>$S$20*(1-S24)-R24</f>
        <v>57.803654999999999</v>
      </c>
      <c r="V24">
        <f>$V$17*(100+U24)/100</f>
        <v>4478.0965747034406</v>
      </c>
      <c r="Y24">
        <f>($V$17+$B$29*(50+10*$C$4))*(100+U24)/100</f>
        <v>4478.0965747034406</v>
      </c>
    </row>
    <row r="25" spans="2:26" x14ac:dyDescent="0.25">
      <c r="C25" t="s">
        <v>83</v>
      </c>
      <c r="F25">
        <v>500</v>
      </c>
      <c r="G25">
        <v>1</v>
      </c>
      <c r="J25" t="s">
        <v>33</v>
      </c>
      <c r="N25">
        <f>F14</f>
        <v>210</v>
      </c>
      <c r="R25">
        <v>20</v>
      </c>
      <c r="S25">
        <v>0.06</v>
      </c>
      <c r="U25">
        <f>$S$20*(1-S25)-R25</f>
        <v>68.928699999999992</v>
      </c>
      <c r="V25">
        <f>$V$17*(100+U25)/100</f>
        <v>4793.7991856976005</v>
      </c>
      <c r="Y25">
        <f>($V$17+$B$29*(50+10*$C$4))*(100+U25)/100</f>
        <v>4793.7991856976005</v>
      </c>
    </row>
    <row r="26" spans="2:26" x14ac:dyDescent="0.25">
      <c r="C26" t="s">
        <v>77</v>
      </c>
      <c r="D26">
        <v>45</v>
      </c>
      <c r="F26">
        <v>450</v>
      </c>
      <c r="J26" t="s">
        <v>134</v>
      </c>
      <c r="N26">
        <f>X4</f>
        <v>1000</v>
      </c>
      <c r="R26">
        <v>20</v>
      </c>
      <c r="S26">
        <v>0.38900000000000001</v>
      </c>
      <c r="U26">
        <f>$S$20*(1-S26)-R26</f>
        <v>37.803654999999999</v>
      </c>
      <c r="V26">
        <f>$V$17*(100+U26)/100</f>
        <v>3910.5436147034402</v>
      </c>
      <c r="Y26">
        <f>($V$17+$B$29*(50+10*$C$4))*(100+U26)/100</f>
        <v>3910.5436147034402</v>
      </c>
    </row>
    <row r="27" spans="2:26" x14ac:dyDescent="0.25">
      <c r="C27" t="s">
        <v>78</v>
      </c>
      <c r="E27">
        <v>55</v>
      </c>
      <c r="F27">
        <v>450</v>
      </c>
      <c r="G27">
        <v>1</v>
      </c>
      <c r="R27">
        <v>10</v>
      </c>
      <c r="S27">
        <f>1-(1*0.94*0.65*0.75)</f>
        <v>0.54174999999999995</v>
      </c>
      <c r="U27">
        <f>$S$20*(1-S27)-R27</f>
        <v>33.352741250000008</v>
      </c>
      <c r="V27">
        <f>$V$17*(100+U27)/100</f>
        <v>3784.2371510275807</v>
      </c>
      <c r="W27">
        <v>12376.585678916252</v>
      </c>
      <c r="Y27">
        <f>($V$17+$B$29*(50+10*$C$4))*(100+U27)/100</f>
        <v>3784.2371510275807</v>
      </c>
      <c r="Z27">
        <f>Y27/W27</f>
        <v>0.30575776302135577</v>
      </c>
    </row>
    <row r="28" spans="2:26" x14ac:dyDescent="0.25">
      <c r="C28" t="s">
        <v>79</v>
      </c>
      <c r="E28">
        <v>55</v>
      </c>
      <c r="F28">
        <v>450</v>
      </c>
      <c r="G28">
        <v>1</v>
      </c>
    </row>
    <row r="29" spans="2:26" x14ac:dyDescent="0.25">
      <c r="C29" t="s">
        <v>81</v>
      </c>
      <c r="E29">
        <v>40</v>
      </c>
      <c r="F29">
        <v>400</v>
      </c>
      <c r="G29">
        <v>0.75</v>
      </c>
    </row>
    <row r="30" spans="2:26" x14ac:dyDescent="0.25">
      <c r="B30">
        <v>1</v>
      </c>
      <c r="C30" t="s">
        <v>82</v>
      </c>
      <c r="F30">
        <v>400</v>
      </c>
      <c r="J30" t="s">
        <v>129</v>
      </c>
      <c r="N30">
        <f>SUM(N23:N25)</f>
        <v>610.58639999999991</v>
      </c>
    </row>
    <row r="31" spans="2:26" x14ac:dyDescent="0.25">
      <c r="C31" t="s">
        <v>84</v>
      </c>
      <c r="F31">
        <v>380</v>
      </c>
      <c r="J31" t="s">
        <v>135</v>
      </c>
      <c r="L31" s="2" t="s">
        <v>137</v>
      </c>
      <c r="N31">
        <f>N30+N26</f>
        <v>1610.5863999999999</v>
      </c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</row>
    <row r="32" spans="2:26" x14ac:dyDescent="0.25">
      <c r="B32">
        <v>1</v>
      </c>
      <c r="C32" t="s">
        <v>59</v>
      </c>
      <c r="F32">
        <v>250</v>
      </c>
      <c r="L32">
        <f>L23-N31</f>
        <v>-1610.5863999999999</v>
      </c>
      <c r="R32">
        <v>0</v>
      </c>
      <c r="S32">
        <v>0.06</v>
      </c>
      <c r="U32">
        <f t="shared" ref="U32:U37" si="1">$Y$20*(1-S32)-R32</f>
        <v>76.163499999999999</v>
      </c>
      <c r="V32">
        <f t="shared" ref="V32:V37" si="2">$V$17*(100+U32)/100</f>
        <v>4999.1057934480014</v>
      </c>
      <c r="W32">
        <v>11332.5147474</v>
      </c>
      <c r="Y32">
        <f t="shared" ref="Y32:Y37" si="3">($V$17+$B$29*(50+10*$C$4))*(100+U32)/100</f>
        <v>4999.1057934480014</v>
      </c>
      <c r="Z32">
        <f>Y32/W32</f>
        <v>0.44112943198198246</v>
      </c>
    </row>
    <row r="33" spans="3:26" x14ac:dyDescent="0.25">
      <c r="C33" t="s">
        <v>107</v>
      </c>
      <c r="F33">
        <v>150</v>
      </c>
      <c r="J33" t="s">
        <v>131</v>
      </c>
      <c r="R33">
        <v>0</v>
      </c>
      <c r="S33">
        <v>0.38900000000000001</v>
      </c>
      <c r="U33">
        <f t="shared" si="1"/>
        <v>49.506275000000002</v>
      </c>
      <c r="V33">
        <f t="shared" si="2"/>
        <v>4242.636445741201</v>
      </c>
      <c r="Y33">
        <f t="shared" si="3"/>
        <v>4242.636445741201</v>
      </c>
    </row>
    <row r="34" spans="3:26" x14ac:dyDescent="0.25">
      <c r="C34" t="s">
        <v>85</v>
      </c>
      <c r="F34">
        <v>300</v>
      </c>
      <c r="J34" t="s">
        <v>132</v>
      </c>
      <c r="M34">
        <f>22.5</f>
        <v>22.5</v>
      </c>
      <c r="R34">
        <v>15</v>
      </c>
      <c r="S34">
        <v>0.06</v>
      </c>
      <c r="U34">
        <f t="shared" si="1"/>
        <v>61.163499999999999</v>
      </c>
      <c r="V34">
        <f t="shared" si="2"/>
        <v>4573.4410734480007</v>
      </c>
      <c r="Y34">
        <f t="shared" si="3"/>
        <v>4573.4410734480007</v>
      </c>
    </row>
    <row r="35" spans="3:26" x14ac:dyDescent="0.25">
      <c r="C35" t="s">
        <v>115</v>
      </c>
      <c r="F35">
        <v>80</v>
      </c>
      <c r="H35">
        <v>6</v>
      </c>
      <c r="J35" t="s">
        <v>169</v>
      </c>
      <c r="N35">
        <f>AA10*S10</f>
        <v>586.43048217600017</v>
      </c>
      <c r="R35">
        <v>15</v>
      </c>
      <c r="S35">
        <v>0.38900000000000001</v>
      </c>
      <c r="U35">
        <f t="shared" si="1"/>
        <v>34.506275000000002</v>
      </c>
      <c r="V35">
        <f t="shared" si="2"/>
        <v>3816.9717257412012</v>
      </c>
      <c r="Y35">
        <f t="shared" si="3"/>
        <v>3816.9717257412012</v>
      </c>
    </row>
    <row r="36" spans="3:26" x14ac:dyDescent="0.25">
      <c r="C36" t="s">
        <v>106</v>
      </c>
      <c r="D36">
        <v>100</v>
      </c>
      <c r="J36" t="s">
        <v>170</v>
      </c>
      <c r="N36">
        <f>AA11*S10</f>
        <v>731.61</v>
      </c>
      <c r="R36">
        <v>30</v>
      </c>
      <c r="S36">
        <v>0.06</v>
      </c>
      <c r="U36">
        <f t="shared" si="1"/>
        <v>46.163499999999999</v>
      </c>
      <c r="V36">
        <f t="shared" si="2"/>
        <v>4147.7763534480009</v>
      </c>
      <c r="Y36">
        <f t="shared" si="3"/>
        <v>4147.7763534480009</v>
      </c>
    </row>
    <row r="37" spans="3:26" x14ac:dyDescent="0.25">
      <c r="C37" t="s">
        <v>105</v>
      </c>
      <c r="D37">
        <v>100</v>
      </c>
      <c r="J37" t="s">
        <v>172</v>
      </c>
      <c r="N37">
        <f>N35+M34</f>
        <v>608.93048217600017</v>
      </c>
      <c r="R37">
        <v>30</v>
      </c>
      <c r="S37">
        <v>0.38900000000000001</v>
      </c>
      <c r="U37">
        <f t="shared" si="1"/>
        <v>19.506275000000002</v>
      </c>
      <c r="V37">
        <f t="shared" si="2"/>
        <v>3391.3070057412006</v>
      </c>
      <c r="W37">
        <v>7642.2235858100003</v>
      </c>
      <c r="Y37">
        <f t="shared" si="3"/>
        <v>3391.3070057412006</v>
      </c>
      <c r="Z37">
        <f>Y37/W37</f>
        <v>0.44375919752441467</v>
      </c>
    </row>
    <row r="38" spans="3:26" x14ac:dyDescent="0.25">
      <c r="C38" t="s">
        <v>113</v>
      </c>
      <c r="D38">
        <v>50</v>
      </c>
      <c r="J38" t="s">
        <v>171</v>
      </c>
      <c r="N38">
        <f>N36+M34</f>
        <v>754.11</v>
      </c>
    </row>
    <row r="39" spans="3:26" x14ac:dyDescent="0.25">
      <c r="C39" t="s">
        <v>108</v>
      </c>
      <c r="D39">
        <v>40</v>
      </c>
    </row>
    <row r="40" spans="3:26" x14ac:dyDescent="0.25">
      <c r="C40" t="s">
        <v>109</v>
      </c>
      <c r="D40">
        <v>25</v>
      </c>
    </row>
    <row r="41" spans="3:26" x14ac:dyDescent="0.25">
      <c r="C41" t="s">
        <v>114</v>
      </c>
      <c r="D41">
        <v>15</v>
      </c>
      <c r="J41" t="s">
        <v>136</v>
      </c>
      <c r="N41">
        <f>L32/N35</f>
        <v>-2.7464234021802247</v>
      </c>
    </row>
    <row r="42" spans="3:26" x14ac:dyDescent="0.25">
      <c r="C42" t="s">
        <v>116</v>
      </c>
      <c r="E42">
        <v>50</v>
      </c>
      <c r="T42" t="s">
        <v>191</v>
      </c>
      <c r="U42" t="s">
        <v>192</v>
      </c>
    </row>
    <row r="43" spans="3:26" x14ac:dyDescent="0.25">
      <c r="C43" t="s">
        <v>127</v>
      </c>
      <c r="E43">
        <f>3/18*3*C4</f>
        <v>9</v>
      </c>
    </row>
    <row r="44" spans="3:26" x14ac:dyDescent="0.25">
      <c r="C44" t="s">
        <v>119</v>
      </c>
      <c r="D44">
        <v>2</v>
      </c>
      <c r="E44">
        <v>0.9</v>
      </c>
      <c r="F44">
        <v>129</v>
      </c>
      <c r="K44" t="s">
        <v>220</v>
      </c>
      <c r="L44">
        <v>2000</v>
      </c>
      <c r="P44" t="s">
        <v>226</v>
      </c>
      <c r="Q44">
        <v>10</v>
      </c>
      <c r="T44" t="s">
        <v>194</v>
      </c>
      <c r="V44" t="s">
        <v>195</v>
      </c>
      <c r="W44" t="s">
        <v>148</v>
      </c>
    </row>
    <row r="45" spans="3:26" x14ac:dyDescent="0.25">
      <c r="C45" t="s">
        <v>110</v>
      </c>
      <c r="E45">
        <v>25</v>
      </c>
      <c r="K45" t="s">
        <v>221</v>
      </c>
      <c r="L45">
        <v>2200</v>
      </c>
      <c r="P45" t="s">
        <v>227</v>
      </c>
      <c r="Q45">
        <f>5+1.67/18*B2*9</f>
        <v>5</v>
      </c>
      <c r="T45" t="s">
        <v>193</v>
      </c>
      <c r="V45">
        <v>329</v>
      </c>
      <c r="W45">
        <v>594</v>
      </c>
    </row>
    <row r="46" spans="3:26" x14ac:dyDescent="0.25">
      <c r="K46" t="s">
        <v>89</v>
      </c>
      <c r="L46">
        <v>4400</v>
      </c>
      <c r="P46" t="s">
        <v>228</v>
      </c>
      <c r="Q46">
        <v>40</v>
      </c>
      <c r="T46" t="s">
        <v>196</v>
      </c>
      <c r="V46">
        <v>339</v>
      </c>
      <c r="W46">
        <v>730</v>
      </c>
    </row>
    <row r="48" spans="3:26" x14ac:dyDescent="0.25">
      <c r="C48" s="2" t="s">
        <v>72</v>
      </c>
      <c r="L48" t="s">
        <v>218</v>
      </c>
      <c r="M48" t="s">
        <v>268</v>
      </c>
      <c r="N48" t="s">
        <v>269</v>
      </c>
    </row>
    <row r="49" spans="4:23" x14ac:dyDescent="0.25">
      <c r="D49">
        <f>D20*$B20</f>
        <v>0</v>
      </c>
      <c r="E49">
        <f>E20*$B20</f>
        <v>0</v>
      </c>
      <c r="F49">
        <f>F20*$B20</f>
        <v>0</v>
      </c>
      <c r="G49">
        <f>G20*$B20</f>
        <v>0</v>
      </c>
      <c r="H49">
        <f>H20*$B20</f>
        <v>0</v>
      </c>
      <c r="K49" t="s">
        <v>25</v>
      </c>
      <c r="L49">
        <f>F8+K95</f>
        <v>133.52879999999999</v>
      </c>
      <c r="M49">
        <f>10-C8</f>
        <v>5</v>
      </c>
      <c r="N49">
        <f>(1-0.01*$Q$46)*M49</f>
        <v>3</v>
      </c>
    </row>
    <row r="50" spans="4:23" x14ac:dyDescent="0.25">
      <c r="D50">
        <f t="shared" ref="D50:H65" si="4">D21*$B21</f>
        <v>0</v>
      </c>
      <c r="E50">
        <f t="shared" si="4"/>
        <v>0</v>
      </c>
      <c r="F50">
        <f t="shared" si="4"/>
        <v>0</v>
      </c>
      <c r="G50">
        <f t="shared" si="4"/>
        <v>0</v>
      </c>
      <c r="H50">
        <f t="shared" si="4"/>
        <v>0</v>
      </c>
    </row>
    <row r="51" spans="4:23" x14ac:dyDescent="0.25">
      <c r="D51">
        <f t="shared" si="4"/>
        <v>0</v>
      </c>
      <c r="E51">
        <f t="shared" si="4"/>
        <v>0</v>
      </c>
      <c r="F51">
        <f t="shared" si="4"/>
        <v>0</v>
      </c>
      <c r="G51">
        <f t="shared" si="4"/>
        <v>0</v>
      </c>
      <c r="H51">
        <f t="shared" si="4"/>
        <v>0</v>
      </c>
    </row>
    <row r="52" spans="4:23" x14ac:dyDescent="0.25">
      <c r="D52">
        <f t="shared" si="4"/>
        <v>0</v>
      </c>
      <c r="E52">
        <f t="shared" si="4"/>
        <v>0</v>
      </c>
      <c r="F52">
        <f t="shared" si="4"/>
        <v>0</v>
      </c>
      <c r="G52">
        <f t="shared" si="4"/>
        <v>0</v>
      </c>
      <c r="H52">
        <f t="shared" si="4"/>
        <v>0</v>
      </c>
      <c r="K52" t="s">
        <v>29</v>
      </c>
      <c r="M52">
        <f>17-C11</f>
        <v>12</v>
      </c>
    </row>
    <row r="53" spans="4:23" x14ac:dyDescent="0.25">
      <c r="D53">
        <f t="shared" si="4"/>
        <v>0</v>
      </c>
      <c r="E53">
        <f t="shared" si="4"/>
        <v>0</v>
      </c>
      <c r="F53">
        <f t="shared" si="4"/>
        <v>0</v>
      </c>
      <c r="G53">
        <f t="shared" si="4"/>
        <v>0</v>
      </c>
      <c r="H53">
        <f t="shared" si="4"/>
        <v>0</v>
      </c>
    </row>
    <row r="54" spans="4:23" x14ac:dyDescent="0.25">
      <c r="D54">
        <f t="shared" si="4"/>
        <v>0</v>
      </c>
      <c r="E54">
        <f t="shared" si="4"/>
        <v>0</v>
      </c>
      <c r="F54">
        <f t="shared" si="4"/>
        <v>0</v>
      </c>
      <c r="G54">
        <f t="shared" si="4"/>
        <v>0</v>
      </c>
      <c r="H54">
        <f t="shared" si="4"/>
        <v>0</v>
      </c>
    </row>
    <row r="55" spans="4:23" x14ac:dyDescent="0.25">
      <c r="D55">
        <f t="shared" si="4"/>
        <v>0</v>
      </c>
      <c r="E55">
        <f t="shared" si="4"/>
        <v>0</v>
      </c>
      <c r="F55">
        <f t="shared" si="4"/>
        <v>0</v>
      </c>
      <c r="G55">
        <f t="shared" si="4"/>
        <v>0</v>
      </c>
      <c r="H55">
        <f t="shared" si="4"/>
        <v>0</v>
      </c>
      <c r="K55" t="s">
        <v>33</v>
      </c>
      <c r="L55">
        <f>F14</f>
        <v>210</v>
      </c>
      <c r="M55">
        <f>15-C14</f>
        <v>10</v>
      </c>
      <c r="N55">
        <f>(1-0.01*$Q$46)*M55</f>
        <v>6</v>
      </c>
    </row>
    <row r="56" spans="4:23" x14ac:dyDescent="0.25">
      <c r="D56">
        <f t="shared" si="4"/>
        <v>0</v>
      </c>
      <c r="E56">
        <f t="shared" si="4"/>
        <v>0</v>
      </c>
      <c r="F56">
        <f t="shared" si="4"/>
        <v>0</v>
      </c>
      <c r="G56">
        <f t="shared" si="4"/>
        <v>0</v>
      </c>
      <c r="H56">
        <f t="shared" si="4"/>
        <v>0</v>
      </c>
    </row>
    <row r="57" spans="4:23" x14ac:dyDescent="0.25">
      <c r="D57">
        <f t="shared" si="4"/>
        <v>0</v>
      </c>
      <c r="E57">
        <f t="shared" si="4"/>
        <v>0</v>
      </c>
      <c r="F57">
        <f t="shared" si="4"/>
        <v>0</v>
      </c>
      <c r="G57">
        <f t="shared" si="4"/>
        <v>0</v>
      </c>
      <c r="H57">
        <f t="shared" si="4"/>
        <v>0</v>
      </c>
    </row>
    <row r="58" spans="4:23" x14ac:dyDescent="0.25">
      <c r="D58">
        <f t="shared" si="4"/>
        <v>0</v>
      </c>
      <c r="E58">
        <f t="shared" si="4"/>
        <v>0</v>
      </c>
      <c r="F58">
        <f t="shared" si="4"/>
        <v>0</v>
      </c>
      <c r="G58">
        <f t="shared" si="4"/>
        <v>0</v>
      </c>
      <c r="H58">
        <f t="shared" si="4"/>
        <v>0</v>
      </c>
    </row>
    <row r="59" spans="4:23" x14ac:dyDescent="0.25">
      <c r="D59">
        <f t="shared" si="4"/>
        <v>0</v>
      </c>
      <c r="E59">
        <f t="shared" si="4"/>
        <v>0</v>
      </c>
      <c r="F59">
        <f t="shared" si="4"/>
        <v>400</v>
      </c>
      <c r="G59">
        <f t="shared" si="4"/>
        <v>0</v>
      </c>
      <c r="H59">
        <f t="shared" si="4"/>
        <v>0</v>
      </c>
    </row>
    <row r="60" spans="4:23" x14ac:dyDescent="0.25">
      <c r="D60">
        <f t="shared" si="4"/>
        <v>0</v>
      </c>
      <c r="E60">
        <f t="shared" si="4"/>
        <v>0</v>
      </c>
      <c r="F60">
        <f t="shared" si="4"/>
        <v>0</v>
      </c>
      <c r="G60">
        <f t="shared" si="4"/>
        <v>0</v>
      </c>
      <c r="H60">
        <f t="shared" si="4"/>
        <v>0</v>
      </c>
    </row>
    <row r="61" spans="4:23" x14ac:dyDescent="0.25">
      <c r="D61">
        <f t="shared" si="4"/>
        <v>0</v>
      </c>
      <c r="E61">
        <f t="shared" si="4"/>
        <v>0</v>
      </c>
      <c r="F61">
        <f t="shared" si="4"/>
        <v>250</v>
      </c>
      <c r="G61">
        <f t="shared" si="4"/>
        <v>0</v>
      </c>
      <c r="H61">
        <f t="shared" si="4"/>
        <v>0</v>
      </c>
    </row>
    <row r="62" spans="4:23" x14ac:dyDescent="0.25">
      <c r="D62">
        <f t="shared" si="4"/>
        <v>0</v>
      </c>
      <c r="E62">
        <f t="shared" si="4"/>
        <v>0</v>
      </c>
      <c r="F62">
        <f t="shared" si="4"/>
        <v>0</v>
      </c>
      <c r="G62">
        <f t="shared" si="4"/>
        <v>0</v>
      </c>
      <c r="H62">
        <f t="shared" si="4"/>
        <v>0</v>
      </c>
    </row>
    <row r="63" spans="4:23" x14ac:dyDescent="0.25">
      <c r="D63">
        <f t="shared" si="4"/>
        <v>0</v>
      </c>
      <c r="E63">
        <f t="shared" si="4"/>
        <v>0</v>
      </c>
      <c r="F63">
        <f t="shared" si="4"/>
        <v>0</v>
      </c>
      <c r="G63">
        <f t="shared" si="4"/>
        <v>0</v>
      </c>
      <c r="H63">
        <f t="shared" si="4"/>
        <v>0</v>
      </c>
      <c r="Q63" t="s">
        <v>377</v>
      </c>
    </row>
    <row r="64" spans="4:23" x14ac:dyDescent="0.25">
      <c r="D64">
        <f t="shared" si="4"/>
        <v>0</v>
      </c>
      <c r="E64">
        <f t="shared" si="4"/>
        <v>0</v>
      </c>
      <c r="F64">
        <f t="shared" si="4"/>
        <v>0</v>
      </c>
      <c r="G64">
        <f t="shared" si="4"/>
        <v>0</v>
      </c>
      <c r="H64">
        <f t="shared" si="4"/>
        <v>0</v>
      </c>
      <c r="L64" t="s">
        <v>287</v>
      </c>
      <c r="M64" t="s">
        <v>133</v>
      </c>
      <c r="Q64" t="s">
        <v>378</v>
      </c>
      <c r="S64" t="s">
        <v>382</v>
      </c>
      <c r="U64" t="s">
        <v>314</v>
      </c>
      <c r="W64" t="s">
        <v>384</v>
      </c>
    </row>
    <row r="65" spans="2:23" x14ac:dyDescent="0.25">
      <c r="D65">
        <f t="shared" si="4"/>
        <v>0</v>
      </c>
      <c r="E65">
        <f t="shared" si="4"/>
        <v>0</v>
      </c>
      <c r="F65">
        <f t="shared" si="4"/>
        <v>0</v>
      </c>
      <c r="G65">
        <f t="shared" si="4"/>
        <v>0</v>
      </c>
      <c r="H65">
        <f t="shared" si="4"/>
        <v>0</v>
      </c>
      <c r="K65" t="s">
        <v>222</v>
      </c>
      <c r="L65">
        <f>L49*3</f>
        <v>400.58639999999997</v>
      </c>
      <c r="M65">
        <f>L65/(N49+3/AA11)</f>
        <v>95.377714285714276</v>
      </c>
      <c r="P65" t="s">
        <v>380</v>
      </c>
      <c r="Q65">
        <f>3*F8+5*S10</f>
        <v>1863.8063999999999</v>
      </c>
      <c r="S65">
        <f>Vlad!S20</f>
        <v>31.105</v>
      </c>
      <c r="T65">
        <f>S65-11.5</f>
        <v>19.605</v>
      </c>
      <c r="U65">
        <f>Q65*100/(100+S65*0.85)</f>
        <v>1474.0726475362674</v>
      </c>
      <c r="V65">
        <f>Q65*100/(100+T65*0.85)</f>
        <v>1597.5814356154519</v>
      </c>
      <c r="W65">
        <f>S67-U68</f>
        <v>-989.2647246302846</v>
      </c>
    </row>
    <row r="66" spans="2:23" x14ac:dyDescent="0.25">
      <c r="D66">
        <f t="shared" ref="D66:H74" si="5">D37*$B37</f>
        <v>0</v>
      </c>
      <c r="E66">
        <f t="shared" si="5"/>
        <v>0</v>
      </c>
      <c r="F66">
        <f t="shared" si="5"/>
        <v>0</v>
      </c>
      <c r="G66">
        <f t="shared" si="5"/>
        <v>0</v>
      </c>
      <c r="H66">
        <f t="shared" si="5"/>
        <v>0</v>
      </c>
      <c r="K66" t="s">
        <v>223</v>
      </c>
      <c r="P66" t="s">
        <v>381</v>
      </c>
      <c r="Q66">
        <f>F14</f>
        <v>210</v>
      </c>
      <c r="S66">
        <f>Vlad!Y20</f>
        <v>30</v>
      </c>
      <c r="U66">
        <f>Q66*100/(100+S66)</f>
        <v>161.53846153846155</v>
      </c>
      <c r="W66">
        <f>W65-(V68-U68)</f>
        <v>-1112.7735127094688</v>
      </c>
    </row>
    <row r="67" spans="2:23" x14ac:dyDescent="0.25">
      <c r="D67">
        <f t="shared" si="5"/>
        <v>0</v>
      </c>
      <c r="E67">
        <f t="shared" si="5"/>
        <v>0</v>
      </c>
      <c r="F67">
        <f t="shared" si="5"/>
        <v>0</v>
      </c>
      <c r="G67">
        <f t="shared" si="5"/>
        <v>0</v>
      </c>
      <c r="H67">
        <f t="shared" si="5"/>
        <v>0</v>
      </c>
      <c r="K67" t="s">
        <v>224</v>
      </c>
      <c r="L67">
        <f>L55</f>
        <v>210</v>
      </c>
      <c r="M67">
        <f>L67/(N55)</f>
        <v>35</v>
      </c>
      <c r="P67" t="s">
        <v>383</v>
      </c>
      <c r="Q67">
        <f>50+20*C4</f>
        <v>410</v>
      </c>
      <c r="S67">
        <f>Vlad!V17</f>
        <v>646.34638444444442</v>
      </c>
    </row>
    <row r="68" spans="2:23" x14ac:dyDescent="0.25">
      <c r="D68">
        <f t="shared" si="5"/>
        <v>0</v>
      </c>
      <c r="E68">
        <f t="shared" si="5"/>
        <v>0</v>
      </c>
      <c r="F68">
        <f t="shared" si="5"/>
        <v>0</v>
      </c>
      <c r="G68">
        <f t="shared" si="5"/>
        <v>0</v>
      </c>
      <c r="H68">
        <f t="shared" si="5"/>
        <v>0</v>
      </c>
      <c r="K68" t="s">
        <v>294</v>
      </c>
      <c r="U68">
        <f>U65+U66</f>
        <v>1635.611109074729</v>
      </c>
      <c r="V68">
        <f>V65+U66</f>
        <v>1759.1198971539134</v>
      </c>
    </row>
    <row r="69" spans="2:23" x14ac:dyDescent="0.25">
      <c r="D69">
        <f t="shared" si="5"/>
        <v>0</v>
      </c>
      <c r="E69">
        <f t="shared" si="5"/>
        <v>0</v>
      </c>
      <c r="F69">
        <f t="shared" si="5"/>
        <v>0</v>
      </c>
      <c r="G69">
        <f t="shared" si="5"/>
        <v>0</v>
      </c>
      <c r="H69">
        <f t="shared" si="5"/>
        <v>0</v>
      </c>
      <c r="K69" t="s">
        <v>233</v>
      </c>
      <c r="L69">
        <f>SUM(L65:L67)</f>
        <v>610.58639999999991</v>
      </c>
      <c r="M69">
        <f>SUM(M65:M67)</f>
        <v>130.37771428571426</v>
      </c>
    </row>
    <row r="70" spans="2:23" x14ac:dyDescent="0.25">
      <c r="D70">
        <f t="shared" si="5"/>
        <v>0</v>
      </c>
      <c r="E70">
        <f t="shared" si="5"/>
        <v>0</v>
      </c>
      <c r="F70">
        <f t="shared" si="5"/>
        <v>0</v>
      </c>
      <c r="G70">
        <f t="shared" si="5"/>
        <v>0</v>
      </c>
      <c r="H70">
        <f t="shared" si="5"/>
        <v>0</v>
      </c>
      <c r="K70" t="s">
        <v>239</v>
      </c>
      <c r="M70">
        <f>B37*(24+1.5*C4)+B27*(25+C4)</f>
        <v>0</v>
      </c>
    </row>
    <row r="71" spans="2:23" x14ac:dyDescent="0.25">
      <c r="D71">
        <f t="shared" si="5"/>
        <v>0</v>
      </c>
      <c r="E71">
        <f t="shared" si="5"/>
        <v>0</v>
      </c>
      <c r="F71">
        <f t="shared" si="5"/>
        <v>0</v>
      </c>
      <c r="G71">
        <f t="shared" si="5"/>
        <v>0</v>
      </c>
      <c r="H71">
        <f t="shared" si="5"/>
        <v>0</v>
      </c>
      <c r="K71" t="s">
        <v>232</v>
      </c>
      <c r="M71">
        <f>K101</f>
        <v>941.35149999999999</v>
      </c>
    </row>
    <row r="72" spans="2:23" x14ac:dyDescent="0.25">
      <c r="D72">
        <f t="shared" si="5"/>
        <v>0</v>
      </c>
      <c r="E72">
        <f t="shared" si="5"/>
        <v>0</v>
      </c>
      <c r="F72">
        <f t="shared" si="5"/>
        <v>0</v>
      </c>
      <c r="G72">
        <f t="shared" si="5"/>
        <v>0</v>
      </c>
      <c r="H72">
        <f t="shared" si="5"/>
        <v>0</v>
      </c>
      <c r="K72" t="s">
        <v>234</v>
      </c>
      <c r="M72" s="2">
        <f>M71+M69+M70</f>
        <v>1071.7292142857143</v>
      </c>
      <c r="Q72" s="2"/>
    </row>
    <row r="73" spans="2:23" x14ac:dyDescent="0.25">
      <c r="D73">
        <f t="shared" si="5"/>
        <v>0</v>
      </c>
      <c r="E73">
        <f t="shared" si="5"/>
        <v>0</v>
      </c>
      <c r="F73">
        <f t="shared" si="5"/>
        <v>0</v>
      </c>
      <c r="G73">
        <f t="shared" si="5"/>
        <v>0</v>
      </c>
      <c r="H73">
        <f t="shared" si="5"/>
        <v>0</v>
      </c>
      <c r="K73" t="s">
        <v>390</v>
      </c>
      <c r="M73">
        <f>K96*90</f>
        <v>225</v>
      </c>
    </row>
    <row r="74" spans="2:23" x14ac:dyDescent="0.25">
      <c r="D74">
        <f t="shared" si="5"/>
        <v>0</v>
      </c>
      <c r="E74">
        <f t="shared" si="5"/>
        <v>0</v>
      </c>
      <c r="F74">
        <f t="shared" si="5"/>
        <v>0</v>
      </c>
      <c r="G74">
        <f t="shared" si="5"/>
        <v>0</v>
      </c>
      <c r="H74">
        <f t="shared" si="5"/>
        <v>0</v>
      </c>
      <c r="K74" t="s">
        <v>329</v>
      </c>
      <c r="M74">
        <f>B91*M8*2/1.5</f>
        <v>151.52533333333335</v>
      </c>
    </row>
    <row r="75" spans="2:23" x14ac:dyDescent="0.25">
      <c r="C75" s="2" t="s">
        <v>73</v>
      </c>
      <c r="D75">
        <f>SUM(D49:D74)</f>
        <v>0</v>
      </c>
      <c r="E75">
        <f>SUM(E49:E74)</f>
        <v>0</v>
      </c>
      <c r="F75">
        <f>SUM(F49:F74)</f>
        <v>650</v>
      </c>
      <c r="G75">
        <f>SUM(G49:G74)</f>
        <v>0</v>
      </c>
      <c r="H75">
        <f>SUM(H49:H74)</f>
        <v>0</v>
      </c>
      <c r="K75" t="s">
        <v>330</v>
      </c>
      <c r="M75">
        <v>360</v>
      </c>
    </row>
    <row r="76" spans="2:23" x14ac:dyDescent="0.25">
      <c r="K76" t="s">
        <v>234</v>
      </c>
      <c r="M76">
        <f>M75+M74+M72+M73</f>
        <v>1808.2545476190476</v>
      </c>
    </row>
    <row r="78" spans="2:23" x14ac:dyDescent="0.25">
      <c r="I78" s="2" t="s">
        <v>40</v>
      </c>
      <c r="J78" s="2" t="s">
        <v>37</v>
      </c>
      <c r="K78" s="2" t="s">
        <v>38</v>
      </c>
      <c r="L78" s="2" t="s">
        <v>41</v>
      </c>
    </row>
    <row r="79" spans="2:23" x14ac:dyDescent="0.25">
      <c r="B79" s="2" t="s">
        <v>35</v>
      </c>
      <c r="C79" s="2" t="s">
        <v>36</v>
      </c>
      <c r="D79" s="2" t="s">
        <v>37</v>
      </c>
      <c r="E79" s="2" t="s">
        <v>38</v>
      </c>
      <c r="F79" s="2" t="s">
        <v>39</v>
      </c>
      <c r="J79">
        <f>D134</f>
        <v>165</v>
      </c>
      <c r="K79">
        <f>E134</f>
        <v>1.2</v>
      </c>
      <c r="L79">
        <f>F134</f>
        <v>0.1</v>
      </c>
    </row>
    <row r="80" spans="2:23" x14ac:dyDescent="0.25">
      <c r="C80" t="s">
        <v>43</v>
      </c>
      <c r="D80">
        <v>80</v>
      </c>
      <c r="E80">
        <v>0</v>
      </c>
      <c r="F80">
        <v>0.25</v>
      </c>
    </row>
    <row r="81" spans="2:11" x14ac:dyDescent="0.25">
      <c r="C81" t="s">
        <v>44</v>
      </c>
      <c r="D81">
        <v>0</v>
      </c>
      <c r="E81">
        <v>0.5</v>
      </c>
      <c r="F81">
        <v>0.3</v>
      </c>
      <c r="I81" t="s">
        <v>12</v>
      </c>
      <c r="K81">
        <f>AA10</f>
        <v>2.0039040000000004</v>
      </c>
    </row>
    <row r="82" spans="2:11" x14ac:dyDescent="0.25">
      <c r="C82" t="s">
        <v>45</v>
      </c>
      <c r="E82">
        <v>0.4</v>
      </c>
      <c r="F82">
        <v>0.2</v>
      </c>
    </row>
    <row r="83" spans="2:11" x14ac:dyDescent="0.25">
      <c r="C83" t="s">
        <v>46</v>
      </c>
      <c r="D83">
        <v>40</v>
      </c>
      <c r="E83">
        <v>0</v>
      </c>
      <c r="F83">
        <v>0</v>
      </c>
      <c r="I83" t="s">
        <v>48</v>
      </c>
      <c r="K83">
        <v>2.5</v>
      </c>
    </row>
    <row r="84" spans="2:11" x14ac:dyDescent="0.25">
      <c r="C84" t="s">
        <v>47</v>
      </c>
      <c r="D84">
        <v>80</v>
      </c>
      <c r="E84">
        <v>0</v>
      </c>
      <c r="F84">
        <v>0</v>
      </c>
    </row>
    <row r="85" spans="2:11" x14ac:dyDescent="0.25">
      <c r="C85" t="s">
        <v>49</v>
      </c>
      <c r="D85">
        <v>80</v>
      </c>
      <c r="I85" t="s">
        <v>51</v>
      </c>
      <c r="K85">
        <f>S10</f>
        <v>292.64400000000001</v>
      </c>
    </row>
    <row r="86" spans="2:11" x14ac:dyDescent="0.25">
      <c r="C86" t="s">
        <v>50</v>
      </c>
      <c r="D86">
        <v>7</v>
      </c>
      <c r="I86" t="s">
        <v>53</v>
      </c>
      <c r="K86">
        <f>K85*(1+1.5*L79)</f>
        <v>336.54059999999998</v>
      </c>
    </row>
    <row r="87" spans="2:11" x14ac:dyDescent="0.25">
      <c r="C87" t="s">
        <v>52</v>
      </c>
      <c r="D87">
        <v>25</v>
      </c>
      <c r="E87">
        <v>0.5</v>
      </c>
      <c r="I87" t="s">
        <v>55</v>
      </c>
      <c r="K87">
        <f>K85*IF(B80,2.5,2)</f>
        <v>585.28800000000001</v>
      </c>
    </row>
    <row r="88" spans="2:11" x14ac:dyDescent="0.25">
      <c r="B88">
        <v>1</v>
      </c>
      <c r="C88" t="s">
        <v>54</v>
      </c>
      <c r="D88">
        <v>25</v>
      </c>
      <c r="E88">
        <v>0.4</v>
      </c>
      <c r="F88">
        <v>0</v>
      </c>
    </row>
    <row r="89" spans="2:11" x14ac:dyDescent="0.25">
      <c r="C89" t="s">
        <v>56</v>
      </c>
      <c r="D89">
        <v>30</v>
      </c>
      <c r="E89">
        <v>0</v>
      </c>
      <c r="F89">
        <v>0.15</v>
      </c>
      <c r="I89" t="s">
        <v>58</v>
      </c>
      <c r="K89">
        <f>S10*K81</f>
        <v>586.43048217600017</v>
      </c>
    </row>
    <row r="90" spans="2:11" x14ac:dyDescent="0.25">
      <c r="C90" t="s">
        <v>57</v>
      </c>
      <c r="E90">
        <v>0.2</v>
      </c>
      <c r="I90" t="s">
        <v>201</v>
      </c>
      <c r="K90">
        <f>B92*40*K81</f>
        <v>80.156160000000014</v>
      </c>
    </row>
    <row r="91" spans="2:11" x14ac:dyDescent="0.25">
      <c r="B91">
        <v>1</v>
      </c>
      <c r="C91" t="s">
        <v>59</v>
      </c>
      <c r="D91">
        <v>30</v>
      </c>
      <c r="E91">
        <v>0.3</v>
      </c>
      <c r="F91">
        <v>0.1</v>
      </c>
      <c r="I91" t="s">
        <v>60</v>
      </c>
      <c r="K91">
        <f>K89*(1+1.5*L79)</f>
        <v>674.39505450240017</v>
      </c>
    </row>
    <row r="92" spans="2:11" x14ac:dyDescent="0.25">
      <c r="B92">
        <v>1</v>
      </c>
      <c r="C92" t="s">
        <v>198</v>
      </c>
      <c r="E92">
        <v>0.5</v>
      </c>
    </row>
    <row r="93" spans="2:11" x14ac:dyDescent="0.25">
      <c r="C93" t="s">
        <v>199</v>
      </c>
      <c r="D93">
        <v>45</v>
      </c>
      <c r="I93" t="s">
        <v>202</v>
      </c>
      <c r="K93">
        <f>K91+K90</f>
        <v>754.55121450240017</v>
      </c>
    </row>
    <row r="94" spans="2:11" x14ac:dyDescent="0.25">
      <c r="C94" t="s">
        <v>61</v>
      </c>
      <c r="D94">
        <v>20</v>
      </c>
    </row>
    <row r="95" spans="2:11" x14ac:dyDescent="0.25">
      <c r="B95">
        <v>1</v>
      </c>
      <c r="C95" t="s">
        <v>62</v>
      </c>
      <c r="D95">
        <v>60</v>
      </c>
    </row>
    <row r="96" spans="2:11" x14ac:dyDescent="0.25">
      <c r="C96" t="s">
        <v>63</v>
      </c>
      <c r="D96">
        <v>25</v>
      </c>
      <c r="I96" t="s">
        <v>200</v>
      </c>
      <c r="K96">
        <f>AA11</f>
        <v>2.5</v>
      </c>
    </row>
    <row r="97" spans="2:11" x14ac:dyDescent="0.25">
      <c r="B97">
        <v>1</v>
      </c>
      <c r="C97" t="s">
        <v>64</v>
      </c>
      <c r="D97">
        <v>50</v>
      </c>
      <c r="I97" t="s">
        <v>203</v>
      </c>
      <c r="K97">
        <f>S10*K96</f>
        <v>731.61</v>
      </c>
    </row>
    <row r="98" spans="2:11" x14ac:dyDescent="0.25">
      <c r="C98" t="s">
        <v>65</v>
      </c>
      <c r="D98">
        <v>25</v>
      </c>
      <c r="I98" t="s">
        <v>204</v>
      </c>
      <c r="K98">
        <f>K97*(1+1.5*L79)</f>
        <v>841.35149999999999</v>
      </c>
    </row>
    <row r="99" spans="2:11" x14ac:dyDescent="0.25">
      <c r="C99" t="s">
        <v>66</v>
      </c>
      <c r="D99">
        <v>25</v>
      </c>
      <c r="I99" t="s">
        <v>205</v>
      </c>
      <c r="K99">
        <f>B92*40*K96</f>
        <v>100</v>
      </c>
    </row>
    <row r="100" spans="2:11" x14ac:dyDescent="0.25">
      <c r="C100" t="s">
        <v>67</v>
      </c>
      <c r="D100">
        <v>40</v>
      </c>
    </row>
    <row r="101" spans="2:11" x14ac:dyDescent="0.25">
      <c r="C101" t="s">
        <v>68</v>
      </c>
      <c r="D101">
        <v>75</v>
      </c>
      <c r="I101" t="s">
        <v>206</v>
      </c>
      <c r="K101">
        <f>K99+K98</f>
        <v>941.35149999999999</v>
      </c>
    </row>
    <row r="102" spans="2:11" x14ac:dyDescent="0.25">
      <c r="C102" t="s">
        <v>69</v>
      </c>
      <c r="D102">
        <v>10</v>
      </c>
    </row>
    <row r="103" spans="2:11" x14ac:dyDescent="0.25">
      <c r="C103" t="s">
        <v>70</v>
      </c>
      <c r="D103">
        <v>25</v>
      </c>
    </row>
    <row r="104" spans="2:11" x14ac:dyDescent="0.25">
      <c r="C104" t="s">
        <v>71</v>
      </c>
      <c r="D104">
        <v>50</v>
      </c>
    </row>
    <row r="108" spans="2:11" x14ac:dyDescent="0.25">
      <c r="C108" s="2" t="s">
        <v>72</v>
      </c>
    </row>
    <row r="109" spans="2:11" x14ac:dyDescent="0.25">
      <c r="D109">
        <f t="shared" ref="D109:D133" si="6">D80*B80</f>
        <v>0</v>
      </c>
      <c r="E109">
        <f t="shared" ref="E109:E133" si="7">E80*B80</f>
        <v>0</v>
      </c>
      <c r="F109">
        <f t="shared" ref="F109:F133" si="8">F80*B80</f>
        <v>0</v>
      </c>
    </row>
    <row r="110" spans="2:11" x14ac:dyDescent="0.25">
      <c r="D110">
        <f t="shared" si="6"/>
        <v>0</v>
      </c>
      <c r="E110">
        <f t="shared" si="7"/>
        <v>0</v>
      </c>
      <c r="F110">
        <f t="shared" si="8"/>
        <v>0</v>
      </c>
    </row>
    <row r="111" spans="2:11" x14ac:dyDescent="0.25">
      <c r="D111">
        <f t="shared" si="6"/>
        <v>0</v>
      </c>
      <c r="E111">
        <f t="shared" si="7"/>
        <v>0</v>
      </c>
      <c r="F111">
        <f t="shared" si="8"/>
        <v>0</v>
      </c>
    </row>
    <row r="112" spans="2:11" x14ac:dyDescent="0.25">
      <c r="D112">
        <f t="shared" si="6"/>
        <v>0</v>
      </c>
      <c r="E112">
        <f t="shared" si="7"/>
        <v>0</v>
      </c>
      <c r="F112">
        <f t="shared" si="8"/>
        <v>0</v>
      </c>
    </row>
    <row r="113" spans="4:6" x14ac:dyDescent="0.25">
      <c r="D113">
        <f t="shared" si="6"/>
        <v>0</v>
      </c>
      <c r="E113">
        <f t="shared" si="7"/>
        <v>0</v>
      </c>
      <c r="F113">
        <f t="shared" si="8"/>
        <v>0</v>
      </c>
    </row>
    <row r="114" spans="4:6" x14ac:dyDescent="0.25">
      <c r="D114">
        <f t="shared" si="6"/>
        <v>0</v>
      </c>
      <c r="E114">
        <f t="shared" si="7"/>
        <v>0</v>
      </c>
      <c r="F114">
        <f t="shared" si="8"/>
        <v>0</v>
      </c>
    </row>
    <row r="115" spans="4:6" x14ac:dyDescent="0.25">
      <c r="D115">
        <f t="shared" si="6"/>
        <v>0</v>
      </c>
      <c r="E115">
        <f t="shared" si="7"/>
        <v>0</v>
      </c>
      <c r="F115">
        <f t="shared" si="8"/>
        <v>0</v>
      </c>
    </row>
    <row r="116" spans="4:6" x14ac:dyDescent="0.25">
      <c r="D116">
        <f t="shared" si="6"/>
        <v>0</v>
      </c>
      <c r="E116">
        <f t="shared" si="7"/>
        <v>0</v>
      </c>
      <c r="F116">
        <f t="shared" si="8"/>
        <v>0</v>
      </c>
    </row>
    <row r="117" spans="4:6" x14ac:dyDescent="0.25">
      <c r="D117">
        <f t="shared" si="6"/>
        <v>25</v>
      </c>
      <c r="E117">
        <f t="shared" si="7"/>
        <v>0.4</v>
      </c>
      <c r="F117">
        <f t="shared" si="8"/>
        <v>0</v>
      </c>
    </row>
    <row r="118" spans="4:6" x14ac:dyDescent="0.25">
      <c r="D118">
        <f t="shared" si="6"/>
        <v>0</v>
      </c>
      <c r="E118">
        <f t="shared" si="7"/>
        <v>0</v>
      </c>
      <c r="F118">
        <f t="shared" si="8"/>
        <v>0</v>
      </c>
    </row>
    <row r="119" spans="4:6" x14ac:dyDescent="0.25">
      <c r="D119">
        <f t="shared" si="6"/>
        <v>0</v>
      </c>
      <c r="E119">
        <f t="shared" si="7"/>
        <v>0</v>
      </c>
      <c r="F119">
        <f t="shared" si="8"/>
        <v>0</v>
      </c>
    </row>
    <row r="120" spans="4:6" x14ac:dyDescent="0.25">
      <c r="D120">
        <f t="shared" si="6"/>
        <v>30</v>
      </c>
      <c r="E120">
        <f t="shared" si="7"/>
        <v>0.3</v>
      </c>
      <c r="F120">
        <f t="shared" si="8"/>
        <v>0.1</v>
      </c>
    </row>
    <row r="121" spans="4:6" x14ac:dyDescent="0.25">
      <c r="D121">
        <f t="shared" si="6"/>
        <v>0</v>
      </c>
      <c r="E121">
        <f t="shared" si="7"/>
        <v>0.5</v>
      </c>
      <c r="F121">
        <f t="shared" si="8"/>
        <v>0</v>
      </c>
    </row>
    <row r="122" spans="4:6" x14ac:dyDescent="0.25">
      <c r="D122">
        <f t="shared" si="6"/>
        <v>0</v>
      </c>
      <c r="E122">
        <f t="shared" si="7"/>
        <v>0</v>
      </c>
      <c r="F122">
        <f t="shared" si="8"/>
        <v>0</v>
      </c>
    </row>
    <row r="123" spans="4:6" x14ac:dyDescent="0.25">
      <c r="D123">
        <f t="shared" si="6"/>
        <v>0</v>
      </c>
      <c r="E123">
        <f t="shared" si="7"/>
        <v>0</v>
      </c>
      <c r="F123">
        <f t="shared" si="8"/>
        <v>0</v>
      </c>
    </row>
    <row r="124" spans="4:6" x14ac:dyDescent="0.25">
      <c r="D124">
        <f t="shared" si="6"/>
        <v>60</v>
      </c>
      <c r="E124">
        <f t="shared" si="7"/>
        <v>0</v>
      </c>
      <c r="F124">
        <f t="shared" si="8"/>
        <v>0</v>
      </c>
    </row>
    <row r="125" spans="4:6" x14ac:dyDescent="0.25">
      <c r="D125">
        <f t="shared" si="6"/>
        <v>0</v>
      </c>
      <c r="E125">
        <f t="shared" si="7"/>
        <v>0</v>
      </c>
      <c r="F125">
        <f t="shared" si="8"/>
        <v>0</v>
      </c>
    </row>
    <row r="126" spans="4:6" x14ac:dyDescent="0.25">
      <c r="D126">
        <f t="shared" si="6"/>
        <v>50</v>
      </c>
      <c r="E126">
        <f t="shared" si="7"/>
        <v>0</v>
      </c>
      <c r="F126">
        <f t="shared" si="8"/>
        <v>0</v>
      </c>
    </row>
    <row r="127" spans="4:6" x14ac:dyDescent="0.25">
      <c r="D127">
        <f t="shared" si="6"/>
        <v>0</v>
      </c>
      <c r="E127">
        <f t="shared" si="7"/>
        <v>0</v>
      </c>
      <c r="F127">
        <f t="shared" si="8"/>
        <v>0</v>
      </c>
    </row>
    <row r="128" spans="4:6" x14ac:dyDescent="0.25">
      <c r="D128">
        <f t="shared" si="6"/>
        <v>0</v>
      </c>
      <c r="E128">
        <f t="shared" si="7"/>
        <v>0</v>
      </c>
      <c r="F128">
        <f t="shared" si="8"/>
        <v>0</v>
      </c>
    </row>
    <row r="129" spans="3:6" x14ac:dyDescent="0.25">
      <c r="D129">
        <f t="shared" si="6"/>
        <v>0</v>
      </c>
      <c r="E129">
        <f t="shared" si="7"/>
        <v>0</v>
      </c>
      <c r="F129">
        <f t="shared" si="8"/>
        <v>0</v>
      </c>
    </row>
    <row r="130" spans="3:6" x14ac:dyDescent="0.25">
      <c r="D130">
        <f t="shared" si="6"/>
        <v>0</v>
      </c>
      <c r="E130">
        <f t="shared" si="7"/>
        <v>0</v>
      </c>
      <c r="F130">
        <f t="shared" si="8"/>
        <v>0</v>
      </c>
    </row>
    <row r="131" spans="3:6" x14ac:dyDescent="0.25">
      <c r="D131">
        <f t="shared" si="6"/>
        <v>0</v>
      </c>
      <c r="E131">
        <f t="shared" si="7"/>
        <v>0</v>
      </c>
      <c r="F131">
        <f t="shared" si="8"/>
        <v>0</v>
      </c>
    </row>
    <row r="132" spans="3:6" x14ac:dyDescent="0.25">
      <c r="D132">
        <f t="shared" si="6"/>
        <v>0</v>
      </c>
      <c r="E132">
        <f t="shared" si="7"/>
        <v>0</v>
      </c>
      <c r="F132">
        <f t="shared" si="8"/>
        <v>0</v>
      </c>
    </row>
    <row r="133" spans="3:6" x14ac:dyDescent="0.25">
      <c r="D133">
        <f t="shared" si="6"/>
        <v>0</v>
      </c>
      <c r="E133">
        <f t="shared" si="7"/>
        <v>0</v>
      </c>
      <c r="F133">
        <f t="shared" si="8"/>
        <v>0</v>
      </c>
    </row>
    <row r="134" spans="3:6" x14ac:dyDescent="0.25">
      <c r="C134" s="2" t="s">
        <v>73</v>
      </c>
      <c r="D134">
        <f>SUM(D109:D133)</f>
        <v>165</v>
      </c>
      <c r="E134">
        <f>SUM(E109:E133)</f>
        <v>1.2</v>
      </c>
      <c r="F134">
        <f>SUM(F109:F133)</f>
        <v>0.1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3:AB134"/>
  <sheetViews>
    <sheetView topLeftCell="A61" zoomScaleNormal="100" workbookViewId="0">
      <selection activeCell="T78" sqref="T78"/>
    </sheetView>
  </sheetViews>
  <sheetFormatPr defaultRowHeight="15" x14ac:dyDescent="0.25"/>
  <cols>
    <col min="3" max="3" width="19.5703125" customWidth="1"/>
  </cols>
  <sheetData>
    <row r="3" spans="2:28" x14ac:dyDescent="0.25">
      <c r="B3" t="s">
        <v>409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R3" t="s">
        <v>4</v>
      </c>
      <c r="U3" t="s">
        <v>5</v>
      </c>
      <c r="X3" t="s">
        <v>134</v>
      </c>
      <c r="Z3" t="s">
        <v>157</v>
      </c>
    </row>
    <row r="4" spans="2:28" x14ac:dyDescent="0.25">
      <c r="B4" t="s">
        <v>6</v>
      </c>
      <c r="C4">
        <v>18</v>
      </c>
      <c r="E4" t="s">
        <v>124</v>
      </c>
      <c r="F4">
        <v>17.000000000000004</v>
      </c>
      <c r="H4" t="s">
        <v>7</v>
      </c>
      <c r="I4">
        <v>498.44</v>
      </c>
      <c r="J4">
        <v>83</v>
      </c>
      <c r="L4" t="s">
        <v>7</v>
      </c>
      <c r="M4">
        <f>I4+J4*$F$4</f>
        <v>1909.4400000000003</v>
      </c>
      <c r="O4" t="s">
        <v>9</v>
      </c>
      <c r="P4">
        <f>J79+M8</f>
        <v>260.77600000000001</v>
      </c>
      <c r="Q4">
        <v>1</v>
      </c>
      <c r="R4" t="s">
        <v>10</v>
      </c>
      <c r="S4">
        <f>Q4*(4+10/18*C4)</f>
        <v>14</v>
      </c>
      <c r="U4" t="s">
        <v>10</v>
      </c>
      <c r="V4">
        <v>0</v>
      </c>
      <c r="X4">
        <v>1000</v>
      </c>
      <c r="Z4" t="s">
        <v>19</v>
      </c>
      <c r="AA4">
        <f>I9</f>
        <v>0.67</v>
      </c>
    </row>
    <row r="5" spans="2:28" x14ac:dyDescent="0.25">
      <c r="H5" t="s">
        <v>120</v>
      </c>
      <c r="I5">
        <v>5.42</v>
      </c>
      <c r="J5">
        <v>0.55000000000000004</v>
      </c>
      <c r="L5" t="s">
        <v>120</v>
      </c>
      <c r="M5">
        <f t="shared" ref="M5:M12" si="0">I5+J5*$F$4</f>
        <v>14.770000000000003</v>
      </c>
      <c r="O5" t="s">
        <v>12</v>
      </c>
      <c r="P5">
        <f>M9+I9*K79</f>
        <v>1.9000000000000004</v>
      </c>
      <c r="R5" t="s">
        <v>13</v>
      </c>
      <c r="S5">
        <v>0</v>
      </c>
      <c r="U5" t="s">
        <v>13</v>
      </c>
      <c r="V5">
        <v>0</v>
      </c>
      <c r="Z5" t="s">
        <v>168</v>
      </c>
      <c r="AA5">
        <f>F4*J9</f>
        <v>0.4930000000000001</v>
      </c>
    </row>
    <row r="6" spans="2:28" x14ac:dyDescent="0.25">
      <c r="H6" t="s">
        <v>121</v>
      </c>
      <c r="I6">
        <v>231.8</v>
      </c>
      <c r="J6">
        <v>35</v>
      </c>
      <c r="L6" t="s">
        <v>121</v>
      </c>
      <c r="M6">
        <f t="shared" si="0"/>
        <v>826.80000000000018</v>
      </c>
      <c r="R6" t="s">
        <v>16</v>
      </c>
      <c r="S6">
        <f>J79</f>
        <v>145</v>
      </c>
      <c r="U6" t="s">
        <v>16</v>
      </c>
      <c r="V6">
        <f>30*B32</f>
        <v>0</v>
      </c>
      <c r="Z6" t="s">
        <v>10</v>
      </c>
      <c r="AA6">
        <v>0</v>
      </c>
    </row>
    <row r="7" spans="2:28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I7">
        <v>6.97</v>
      </c>
      <c r="J7">
        <v>0.4</v>
      </c>
      <c r="L7" t="s">
        <v>122</v>
      </c>
      <c r="M7">
        <f t="shared" si="0"/>
        <v>13.770000000000001</v>
      </c>
      <c r="O7" t="s">
        <v>7</v>
      </c>
      <c r="P7">
        <f>M4+L20</f>
        <v>1909.4400000000003</v>
      </c>
      <c r="R7" s="2"/>
      <c r="Z7" t="s">
        <v>158</v>
      </c>
      <c r="AA7">
        <v>0.28000000000000003</v>
      </c>
    </row>
    <row r="8" spans="2:28" x14ac:dyDescent="0.25">
      <c r="B8" t="s">
        <v>25</v>
      </c>
      <c r="C8">
        <v>5</v>
      </c>
      <c r="D8">
        <f>(1+0.25+0.05*C8)*S10</f>
        <v>412.16399999999999</v>
      </c>
      <c r="F8">
        <f>E8+D8</f>
        <v>412.16399999999999</v>
      </c>
      <c r="H8" t="s">
        <v>8</v>
      </c>
      <c r="I8">
        <v>61.375999999999998</v>
      </c>
      <c r="J8">
        <v>3.2</v>
      </c>
      <c r="L8" t="s">
        <v>8</v>
      </c>
      <c r="M8">
        <f t="shared" si="0"/>
        <v>115.77600000000001</v>
      </c>
      <c r="O8" t="s">
        <v>120</v>
      </c>
      <c r="P8">
        <f>(M5+M5*M20+N20+V17*0.01)*(1+0.2*B28)</f>
        <v>34.797232000000008</v>
      </c>
      <c r="R8" t="s">
        <v>26</v>
      </c>
      <c r="S8">
        <f>SUM(S4:S7)</f>
        <v>159</v>
      </c>
      <c r="U8" t="s">
        <v>26</v>
      </c>
      <c r="V8">
        <f>SUM(V4:V7)</f>
        <v>0</v>
      </c>
      <c r="Z8" t="s">
        <v>159</v>
      </c>
      <c r="AA8">
        <f>K79</f>
        <v>1.1000000000000001</v>
      </c>
    </row>
    <row r="9" spans="2:28" x14ac:dyDescent="0.25">
      <c r="H9" t="s">
        <v>14</v>
      </c>
      <c r="I9">
        <v>0.67</v>
      </c>
      <c r="J9">
        <v>2.9000000000000001E-2</v>
      </c>
      <c r="L9" t="s">
        <v>14</v>
      </c>
      <c r="M9">
        <f t="shared" si="0"/>
        <v>1.1630000000000003</v>
      </c>
      <c r="O9" t="s">
        <v>15</v>
      </c>
      <c r="P9">
        <f>M10+J20</f>
        <v>76.808000000000007</v>
      </c>
      <c r="Q9">
        <v>0</v>
      </c>
      <c r="R9" t="s">
        <v>358</v>
      </c>
      <c r="S9">
        <f>S8*(1+0.05*Q9)</f>
        <v>159</v>
      </c>
    </row>
    <row r="10" spans="2:28" x14ac:dyDescent="0.25">
      <c r="H10" t="s">
        <v>15</v>
      </c>
      <c r="I10">
        <v>24.108000000000001</v>
      </c>
      <c r="J10">
        <v>3.1</v>
      </c>
      <c r="L10" t="s">
        <v>15</v>
      </c>
      <c r="M10">
        <f t="shared" si="0"/>
        <v>76.808000000000007</v>
      </c>
      <c r="O10" t="s">
        <v>23</v>
      </c>
      <c r="P10">
        <f>M11+K20</f>
        <v>53.350000000000009</v>
      </c>
      <c r="R10" t="s">
        <v>31</v>
      </c>
      <c r="S10">
        <f>S9+M8</f>
        <v>274.77600000000001</v>
      </c>
      <c r="U10" t="s">
        <v>32</v>
      </c>
      <c r="V10">
        <f>V8</f>
        <v>0</v>
      </c>
      <c r="Z10" t="s">
        <v>160</v>
      </c>
      <c r="AA10">
        <f>(1+SUM(AA5:AA8))*AA4</f>
        <v>1.9249100000000003</v>
      </c>
    </row>
    <row r="11" spans="2:28" x14ac:dyDescent="0.25">
      <c r="B11" t="s">
        <v>29</v>
      </c>
      <c r="C11">
        <v>5</v>
      </c>
      <c r="D11">
        <f>10+10*C11</f>
        <v>60</v>
      </c>
      <c r="F11">
        <f>E11+D11</f>
        <v>60</v>
      </c>
      <c r="H11" t="s">
        <v>23</v>
      </c>
      <c r="I11">
        <v>32.1</v>
      </c>
      <c r="J11">
        <v>1.25</v>
      </c>
      <c r="L11" t="s">
        <v>23</v>
      </c>
      <c r="M11">
        <f t="shared" si="0"/>
        <v>53.350000000000009</v>
      </c>
      <c r="Z11" t="s">
        <v>20</v>
      </c>
      <c r="AA11">
        <v>0</v>
      </c>
    </row>
    <row r="12" spans="2:28" x14ac:dyDescent="0.25">
      <c r="H12" t="s">
        <v>123</v>
      </c>
      <c r="I12">
        <v>330</v>
      </c>
      <c r="L12" t="s">
        <v>123</v>
      </c>
      <c r="M12">
        <f t="shared" si="0"/>
        <v>330</v>
      </c>
      <c r="O12" t="s">
        <v>91</v>
      </c>
      <c r="R12" t="s">
        <v>86</v>
      </c>
      <c r="U12" t="s">
        <v>88</v>
      </c>
      <c r="X12" t="s">
        <v>95</v>
      </c>
      <c r="Z12" t="s">
        <v>167</v>
      </c>
      <c r="AA12">
        <f>AA10+AA11*I9</f>
        <v>1.9249100000000003</v>
      </c>
    </row>
    <row r="13" spans="2:28" x14ac:dyDescent="0.25">
      <c r="B13" t="s">
        <v>33</v>
      </c>
      <c r="C13">
        <v>5</v>
      </c>
      <c r="D13">
        <f>10+35*C13</f>
        <v>185</v>
      </c>
      <c r="E13">
        <f>S8</f>
        <v>159</v>
      </c>
      <c r="F13">
        <f>E13+D13</f>
        <v>344</v>
      </c>
      <c r="O13" t="s">
        <v>92</v>
      </c>
      <c r="P13">
        <v>1</v>
      </c>
      <c r="R13" t="s">
        <v>2</v>
      </c>
      <c r="S13">
        <f>M10</f>
        <v>76.808000000000007</v>
      </c>
      <c r="U13" t="s">
        <v>2</v>
      </c>
      <c r="V13">
        <f>M4</f>
        <v>1909.4400000000003</v>
      </c>
      <c r="X13" t="s">
        <v>2</v>
      </c>
      <c r="Y13">
        <f>M11</f>
        <v>53.350000000000009</v>
      </c>
    </row>
    <row r="14" spans="2:28" x14ac:dyDescent="0.25">
      <c r="O14" t="s">
        <v>93</v>
      </c>
      <c r="P14">
        <v>1</v>
      </c>
      <c r="R14" t="s">
        <v>10</v>
      </c>
      <c r="S14">
        <v>0</v>
      </c>
      <c r="U14" t="s">
        <v>16</v>
      </c>
      <c r="V14">
        <f>L20</f>
        <v>0</v>
      </c>
      <c r="X14" t="s">
        <v>10</v>
      </c>
      <c r="Y14">
        <v>0</v>
      </c>
    </row>
    <row r="15" spans="2:28" x14ac:dyDescent="0.25">
      <c r="O15" t="s">
        <v>94</v>
      </c>
      <c r="P15">
        <v>3</v>
      </c>
      <c r="R15" t="s">
        <v>13</v>
      </c>
      <c r="S15">
        <v>9</v>
      </c>
      <c r="U15" t="s">
        <v>10</v>
      </c>
      <c r="V15">
        <f>36+0.03*(V13+V14)*P14</f>
        <v>93.283200000000008</v>
      </c>
      <c r="X15" t="s">
        <v>13</v>
      </c>
      <c r="Y15">
        <f>AB16*3*C4/18+AB15*1.34</f>
        <v>27</v>
      </c>
      <c r="AA15" t="s">
        <v>386</v>
      </c>
      <c r="AB15">
        <v>0</v>
      </c>
    </row>
    <row r="16" spans="2:28" x14ac:dyDescent="0.25">
      <c r="B16" t="s">
        <v>34</v>
      </c>
      <c r="C16">
        <v>2</v>
      </c>
      <c r="D16">
        <f>40+60*C16</f>
        <v>160</v>
      </c>
      <c r="E16">
        <f>0.7*V10</f>
        <v>0</v>
      </c>
      <c r="F16">
        <f>E16+D16</f>
        <v>160</v>
      </c>
      <c r="R16" t="s">
        <v>16</v>
      </c>
      <c r="S16">
        <f>J20</f>
        <v>0</v>
      </c>
      <c r="X16" t="s">
        <v>16</v>
      </c>
      <c r="Y16">
        <f>K20</f>
        <v>0</v>
      </c>
      <c r="AA16" t="s">
        <v>387</v>
      </c>
      <c r="AB16">
        <v>9</v>
      </c>
    </row>
    <row r="17" spans="2:26" x14ac:dyDescent="0.25">
      <c r="R17" s="2"/>
      <c r="S17" s="2"/>
      <c r="U17" t="s">
        <v>89</v>
      </c>
      <c r="V17">
        <f>SUM(V13:V15)</f>
        <v>2002.7232000000004</v>
      </c>
    </row>
    <row r="18" spans="2:26" x14ac:dyDescent="0.25">
      <c r="J18" s="2" t="s">
        <v>40</v>
      </c>
      <c r="R18" t="s">
        <v>10</v>
      </c>
      <c r="S18">
        <f>P13*0.025*SUM(S14:S17)</f>
        <v>0.22500000000000001</v>
      </c>
      <c r="X18" t="s">
        <v>10</v>
      </c>
      <c r="Y18">
        <f>P13*0.025*SUM(Y14:Y17)</f>
        <v>0.67500000000000004</v>
      </c>
    </row>
    <row r="19" spans="2:26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</row>
    <row r="20" spans="2:26" x14ac:dyDescent="0.25">
      <c r="C20" t="s">
        <v>74</v>
      </c>
      <c r="F20">
        <v>1000</v>
      </c>
      <c r="J20">
        <f>D75</f>
        <v>0</v>
      </c>
      <c r="K20">
        <f>E75</f>
        <v>0</v>
      </c>
      <c r="L20">
        <f>F75*(1+0.25*B34)</f>
        <v>0</v>
      </c>
      <c r="M20">
        <f>G75</f>
        <v>0</v>
      </c>
      <c r="N20">
        <f>H75</f>
        <v>0</v>
      </c>
      <c r="R20" t="s">
        <v>90</v>
      </c>
      <c r="S20">
        <f>SUM(S13:S18)</f>
        <v>86.033000000000001</v>
      </c>
      <c r="X20" t="s">
        <v>96</v>
      </c>
      <c r="Y20">
        <f>SUM(Y13:Y18)</f>
        <v>81.025000000000006</v>
      </c>
    </row>
    <row r="21" spans="2:26" x14ac:dyDescent="0.25">
      <c r="C21" t="s">
        <v>117</v>
      </c>
      <c r="F21">
        <v>800</v>
      </c>
      <c r="H21">
        <f>V17*0.03</f>
        <v>60.081696000000008</v>
      </c>
    </row>
    <row r="22" spans="2:26" x14ac:dyDescent="0.25">
      <c r="C22" t="s">
        <v>75</v>
      </c>
      <c r="F22">
        <v>700</v>
      </c>
      <c r="J22" s="2" t="s">
        <v>42</v>
      </c>
      <c r="L22" s="2" t="s">
        <v>130</v>
      </c>
      <c r="R22" t="s">
        <v>98</v>
      </c>
      <c r="S22" t="s">
        <v>99</v>
      </c>
      <c r="U22" t="s">
        <v>100</v>
      </c>
      <c r="V22" t="s">
        <v>101</v>
      </c>
      <c r="W22">
        <v>4.1900000000000004</v>
      </c>
      <c r="Y22" t="s">
        <v>118</v>
      </c>
    </row>
    <row r="23" spans="2:26" x14ac:dyDescent="0.25">
      <c r="C23" t="s">
        <v>80</v>
      </c>
      <c r="F23">
        <v>650</v>
      </c>
      <c r="J23" t="s">
        <v>25</v>
      </c>
      <c r="N23">
        <f>F8*3</f>
        <v>1236.492</v>
      </c>
      <c r="P23" s="2" t="s">
        <v>97</v>
      </c>
      <c r="R23">
        <v>0</v>
      </c>
      <c r="S23">
        <v>0.06</v>
      </c>
      <c r="U23">
        <f>$S$20*(1-S23)-R23</f>
        <v>80.871020000000001</v>
      </c>
      <c r="V23">
        <f>$V$17*(100+U23)/100</f>
        <v>3622.3458796166401</v>
      </c>
      <c r="W23">
        <v>20715.592674699998</v>
      </c>
      <c r="Y23">
        <f>($V$17+$B$29*(50+10*$C$4))*(100+U23)/100</f>
        <v>3622.3458796166401</v>
      </c>
      <c r="Z23">
        <f>Y23/W23</f>
        <v>0.17486083726876034</v>
      </c>
    </row>
    <row r="24" spans="2:26" x14ac:dyDescent="0.25">
      <c r="C24" t="s">
        <v>76</v>
      </c>
      <c r="D24">
        <v>70</v>
      </c>
      <c r="F24">
        <v>500</v>
      </c>
      <c r="J24" t="s">
        <v>29</v>
      </c>
      <c r="R24">
        <v>0</v>
      </c>
      <c r="S24">
        <v>0.38900000000000001</v>
      </c>
      <c r="U24">
        <f>$S$20*(1-S24)-R24</f>
        <v>52.566163000000003</v>
      </c>
      <c r="V24">
        <f>$V$17*(100+U24)/100</f>
        <v>3055.4779417508171</v>
      </c>
      <c r="Y24">
        <f>($V$17+$B$29*(50+10*$C$4))*(100+U24)/100</f>
        <v>3055.4779417508171</v>
      </c>
    </row>
    <row r="25" spans="2:26" x14ac:dyDescent="0.25">
      <c r="C25" t="s">
        <v>83</v>
      </c>
      <c r="F25">
        <v>500</v>
      </c>
      <c r="G25">
        <v>1</v>
      </c>
      <c r="J25" t="s">
        <v>33</v>
      </c>
      <c r="N25">
        <f>F13</f>
        <v>344</v>
      </c>
      <c r="R25">
        <v>20</v>
      </c>
      <c r="S25">
        <v>0.06</v>
      </c>
      <c r="U25">
        <f>$S$20*(1-S25)-R25</f>
        <v>60.871020000000001</v>
      </c>
      <c r="V25">
        <f>$V$17*(100+U25)/100</f>
        <v>3221.8012396166405</v>
      </c>
      <c r="Y25">
        <f>($V$17+$B$29*(50+10*$C$4))*(100+U25)/100</f>
        <v>3221.8012396166405</v>
      </c>
    </row>
    <row r="26" spans="2:26" x14ac:dyDescent="0.25">
      <c r="C26" t="s">
        <v>77</v>
      </c>
      <c r="D26">
        <v>45</v>
      </c>
      <c r="F26">
        <v>450</v>
      </c>
      <c r="J26" t="s">
        <v>134</v>
      </c>
      <c r="N26">
        <f>X4</f>
        <v>1000</v>
      </c>
      <c r="R26">
        <v>20</v>
      </c>
      <c r="S26">
        <v>0.38900000000000001</v>
      </c>
      <c r="U26">
        <f>$S$20*(1-S26)-R26</f>
        <v>32.566163000000003</v>
      </c>
      <c r="V26">
        <f>$V$17*(100+U26)/100</f>
        <v>2654.9333017508166</v>
      </c>
      <c r="Y26">
        <f>($V$17+$B$29*(50+10*$C$4))*(100+U26)/100</f>
        <v>2654.9333017508166</v>
      </c>
    </row>
    <row r="27" spans="2:26" x14ac:dyDescent="0.25">
      <c r="C27" t="s">
        <v>78</v>
      </c>
      <c r="E27">
        <v>55</v>
      </c>
      <c r="F27">
        <v>450</v>
      </c>
      <c r="G27">
        <v>1</v>
      </c>
      <c r="R27">
        <v>10</v>
      </c>
      <c r="S27">
        <f>1-(1*0.94*0.65*0.75)</f>
        <v>0.54174999999999995</v>
      </c>
      <c r="U27">
        <f>$S$20*(1-S27)-R27</f>
        <v>29.424622250000006</v>
      </c>
      <c r="V27">
        <f>$V$17*(100+U27)/100</f>
        <v>2592.0169363131122</v>
      </c>
      <c r="W27">
        <v>12376.585678916252</v>
      </c>
      <c r="Y27">
        <f>($V$17+$B$29*(50+10*$C$4))*(100+U27)/100</f>
        <v>2592.0169363131122</v>
      </c>
      <c r="Z27">
        <f>Y27/W27</f>
        <v>0.20942907871018598</v>
      </c>
    </row>
    <row r="28" spans="2:26" x14ac:dyDescent="0.25">
      <c r="C28" t="s">
        <v>79</v>
      </c>
      <c r="E28">
        <v>55</v>
      </c>
      <c r="F28">
        <v>450</v>
      </c>
      <c r="G28">
        <v>1</v>
      </c>
    </row>
    <row r="29" spans="2:26" x14ac:dyDescent="0.25">
      <c r="C29" t="s">
        <v>81</v>
      </c>
      <c r="E29">
        <v>40</v>
      </c>
      <c r="F29">
        <v>400</v>
      </c>
      <c r="G29">
        <v>0.75</v>
      </c>
    </row>
    <row r="30" spans="2:26" x14ac:dyDescent="0.25">
      <c r="C30" t="s">
        <v>82</v>
      </c>
      <c r="F30">
        <v>400</v>
      </c>
      <c r="J30" t="s">
        <v>129</v>
      </c>
      <c r="N30">
        <f>SUM(N23:N25)</f>
        <v>1580.492</v>
      </c>
    </row>
    <row r="31" spans="2:26" x14ac:dyDescent="0.25">
      <c r="C31" t="s">
        <v>84</v>
      </c>
      <c r="F31">
        <v>380</v>
      </c>
      <c r="J31" t="s">
        <v>135</v>
      </c>
      <c r="L31" s="2" t="s">
        <v>137</v>
      </c>
      <c r="N31">
        <f>N30+N26</f>
        <v>2580.4920000000002</v>
      </c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</row>
    <row r="32" spans="2:26" x14ac:dyDescent="0.25">
      <c r="C32" t="s">
        <v>59</v>
      </c>
      <c r="F32">
        <v>250</v>
      </c>
      <c r="L32">
        <f>L23-N31</f>
        <v>-2580.4920000000002</v>
      </c>
      <c r="R32">
        <v>0</v>
      </c>
      <c r="S32">
        <v>0.06</v>
      </c>
      <c r="U32">
        <f t="shared" ref="U32:U37" si="1">$Y$20*(1-S32)-R32</f>
        <v>76.163499999999999</v>
      </c>
      <c r="V32">
        <f t="shared" ref="V32:V37" si="2">$V$17*(100+U32)/100</f>
        <v>3528.0672844320006</v>
      </c>
      <c r="W32">
        <v>11332.5147474</v>
      </c>
      <c r="Y32">
        <f t="shared" ref="Y32:Y37" si="3">($V$17+$B$29*(50+10*$C$4))*(100+U32)/100</f>
        <v>3528.0672844320006</v>
      </c>
      <c r="Z32">
        <f>Y32/W32</f>
        <v>0.31132254076628835</v>
      </c>
    </row>
    <row r="33" spans="3:26" x14ac:dyDescent="0.25">
      <c r="C33" t="s">
        <v>107</v>
      </c>
      <c r="F33">
        <v>150</v>
      </c>
      <c r="J33" t="s">
        <v>131</v>
      </c>
      <c r="R33">
        <v>0</v>
      </c>
      <c r="S33">
        <v>0.38900000000000001</v>
      </c>
      <c r="U33">
        <f t="shared" si="1"/>
        <v>49.506275000000002</v>
      </c>
      <c r="V33">
        <f t="shared" si="2"/>
        <v>2994.1968548808009</v>
      </c>
      <c r="Y33">
        <f t="shared" si="3"/>
        <v>2994.1968548808009</v>
      </c>
    </row>
    <row r="34" spans="3:26" x14ac:dyDescent="0.25">
      <c r="C34" t="s">
        <v>85</v>
      </c>
      <c r="F34">
        <v>300</v>
      </c>
      <c r="J34" t="s">
        <v>132</v>
      </c>
      <c r="M34">
        <f>22.5</f>
        <v>22.5</v>
      </c>
      <c r="R34">
        <v>15</v>
      </c>
      <c r="S34">
        <v>0.06</v>
      </c>
      <c r="U34">
        <f t="shared" si="1"/>
        <v>61.163499999999999</v>
      </c>
      <c r="V34">
        <f t="shared" si="2"/>
        <v>3227.6588044320006</v>
      </c>
      <c r="Y34">
        <f t="shared" si="3"/>
        <v>3227.6588044320006</v>
      </c>
    </row>
    <row r="35" spans="3:26" x14ac:dyDescent="0.25">
      <c r="C35" t="s">
        <v>115</v>
      </c>
      <c r="F35">
        <v>80</v>
      </c>
      <c r="H35">
        <v>6</v>
      </c>
      <c r="J35" t="s">
        <v>169</v>
      </c>
      <c r="N35">
        <f>AA10*S10</f>
        <v>528.91907016000016</v>
      </c>
      <c r="R35">
        <v>15</v>
      </c>
      <c r="S35">
        <v>0.38900000000000001</v>
      </c>
      <c r="U35">
        <f t="shared" si="1"/>
        <v>34.506275000000002</v>
      </c>
      <c r="V35">
        <f t="shared" si="2"/>
        <v>2693.7883748808008</v>
      </c>
      <c r="Y35">
        <f t="shared" si="3"/>
        <v>2693.7883748808008</v>
      </c>
    </row>
    <row r="36" spans="3:26" x14ac:dyDescent="0.25">
      <c r="C36" t="s">
        <v>106</v>
      </c>
      <c r="D36">
        <v>100</v>
      </c>
      <c r="J36" t="s">
        <v>170</v>
      </c>
      <c r="N36" t="e">
        <f>#REF!*S10</f>
        <v>#REF!</v>
      </c>
      <c r="R36">
        <v>30</v>
      </c>
      <c r="S36">
        <v>0.06</v>
      </c>
      <c r="U36">
        <f t="shared" si="1"/>
        <v>46.163499999999999</v>
      </c>
      <c r="V36">
        <f t="shared" si="2"/>
        <v>2927.2503244320005</v>
      </c>
      <c r="Y36">
        <f t="shared" si="3"/>
        <v>2927.2503244320005</v>
      </c>
    </row>
    <row r="37" spans="3:26" x14ac:dyDescent="0.25">
      <c r="C37" t="s">
        <v>105</v>
      </c>
      <c r="D37">
        <v>100</v>
      </c>
      <c r="J37" t="s">
        <v>172</v>
      </c>
      <c r="N37">
        <f>N35+M34</f>
        <v>551.41907016000016</v>
      </c>
      <c r="R37">
        <v>30</v>
      </c>
      <c r="S37">
        <v>0.38900000000000001</v>
      </c>
      <c r="U37">
        <f t="shared" si="1"/>
        <v>19.506275000000002</v>
      </c>
      <c r="V37">
        <f t="shared" si="2"/>
        <v>2393.3798948808007</v>
      </c>
      <c r="W37">
        <v>7642.2235858100003</v>
      </c>
      <c r="Y37">
        <f t="shared" si="3"/>
        <v>2393.3798948808007</v>
      </c>
      <c r="Z37">
        <f>Y37/W37</f>
        <v>0.31317847063841514</v>
      </c>
    </row>
    <row r="38" spans="3:26" x14ac:dyDescent="0.25">
      <c r="C38" t="s">
        <v>113</v>
      </c>
      <c r="D38">
        <v>50</v>
      </c>
      <c r="J38" t="s">
        <v>171</v>
      </c>
      <c r="N38" t="e">
        <f>N36+M34</f>
        <v>#REF!</v>
      </c>
    </row>
    <row r="39" spans="3:26" x14ac:dyDescent="0.25">
      <c r="C39" t="s">
        <v>108</v>
      </c>
      <c r="D39">
        <v>40</v>
      </c>
    </row>
    <row r="40" spans="3:26" x14ac:dyDescent="0.25">
      <c r="C40" t="s">
        <v>109</v>
      </c>
      <c r="D40">
        <v>25</v>
      </c>
    </row>
    <row r="41" spans="3:26" x14ac:dyDescent="0.25">
      <c r="C41" t="s">
        <v>114</v>
      </c>
      <c r="D41">
        <v>15</v>
      </c>
      <c r="J41" t="s">
        <v>136</v>
      </c>
      <c r="N41">
        <f>L32/N35</f>
        <v>-4.8788031016151319</v>
      </c>
    </row>
    <row r="42" spans="3:26" x14ac:dyDescent="0.25">
      <c r="C42" t="s">
        <v>116</v>
      </c>
      <c r="E42">
        <v>50</v>
      </c>
      <c r="T42" t="s">
        <v>191</v>
      </c>
      <c r="U42" t="s">
        <v>192</v>
      </c>
    </row>
    <row r="43" spans="3:26" x14ac:dyDescent="0.25">
      <c r="C43" t="s">
        <v>127</v>
      </c>
      <c r="E43">
        <f>3/18*3*C4</f>
        <v>9</v>
      </c>
    </row>
    <row r="44" spans="3:26" x14ac:dyDescent="0.25">
      <c r="C44" t="s">
        <v>119</v>
      </c>
      <c r="D44">
        <v>2</v>
      </c>
      <c r="E44">
        <v>0.9</v>
      </c>
      <c r="F44">
        <v>129</v>
      </c>
      <c r="K44" t="s">
        <v>220</v>
      </c>
      <c r="L44">
        <v>2000</v>
      </c>
      <c r="P44" t="s">
        <v>226</v>
      </c>
      <c r="Q44">
        <v>10</v>
      </c>
      <c r="T44" t="s">
        <v>194</v>
      </c>
      <c r="V44" t="s">
        <v>195</v>
      </c>
      <c r="W44" t="s">
        <v>148</v>
      </c>
    </row>
    <row r="45" spans="3:26" x14ac:dyDescent="0.25">
      <c r="C45" t="s">
        <v>110</v>
      </c>
      <c r="E45">
        <v>25</v>
      </c>
      <c r="K45" t="s">
        <v>221</v>
      </c>
      <c r="L45">
        <v>2200</v>
      </c>
      <c r="P45" t="s">
        <v>227</v>
      </c>
      <c r="Q45">
        <f>5+1.67/18*B2*9</f>
        <v>5</v>
      </c>
      <c r="T45" t="s">
        <v>193</v>
      </c>
      <c r="V45">
        <v>329</v>
      </c>
      <c r="W45">
        <v>594</v>
      </c>
    </row>
    <row r="46" spans="3:26" x14ac:dyDescent="0.25">
      <c r="K46" t="s">
        <v>89</v>
      </c>
      <c r="L46">
        <v>4400</v>
      </c>
      <c r="P46" t="s">
        <v>228</v>
      </c>
      <c r="Q46">
        <v>0</v>
      </c>
      <c r="T46" t="s">
        <v>196</v>
      </c>
      <c r="V46">
        <v>339</v>
      </c>
      <c r="W46">
        <v>730</v>
      </c>
    </row>
    <row r="48" spans="3:26" x14ac:dyDescent="0.25">
      <c r="C48" s="2" t="s">
        <v>72</v>
      </c>
      <c r="L48" t="s">
        <v>218</v>
      </c>
      <c r="M48" t="s">
        <v>268</v>
      </c>
      <c r="N48" t="s">
        <v>269</v>
      </c>
    </row>
    <row r="49" spans="4:14" x14ac:dyDescent="0.25">
      <c r="D49">
        <f>D20*$B20</f>
        <v>0</v>
      </c>
      <c r="E49">
        <f>E20*$B20</f>
        <v>0</v>
      </c>
      <c r="F49">
        <f>F20*$B20</f>
        <v>0</v>
      </c>
      <c r="G49">
        <f>G20*$B20</f>
        <v>0</v>
      </c>
      <c r="H49">
        <f>H20*$B20</f>
        <v>0</v>
      </c>
      <c r="K49" t="s">
        <v>25</v>
      </c>
      <c r="L49">
        <f>F8</f>
        <v>412.16399999999999</v>
      </c>
      <c r="M49">
        <f>7-C8</f>
        <v>2</v>
      </c>
      <c r="N49">
        <f>M49*(1-Q40*0.01)</f>
        <v>2</v>
      </c>
    </row>
    <row r="50" spans="4:14" x14ac:dyDescent="0.25">
      <c r="D50">
        <f t="shared" ref="D50:H65" si="4">D21*$B21</f>
        <v>0</v>
      </c>
      <c r="E50">
        <f t="shared" si="4"/>
        <v>0</v>
      </c>
      <c r="F50">
        <f t="shared" si="4"/>
        <v>0</v>
      </c>
      <c r="G50">
        <f t="shared" si="4"/>
        <v>0</v>
      </c>
      <c r="H50">
        <f t="shared" si="4"/>
        <v>0</v>
      </c>
    </row>
    <row r="51" spans="4:14" x14ac:dyDescent="0.25">
      <c r="D51">
        <f t="shared" si="4"/>
        <v>0</v>
      </c>
      <c r="E51">
        <f t="shared" si="4"/>
        <v>0</v>
      </c>
      <c r="F51">
        <f t="shared" si="4"/>
        <v>0</v>
      </c>
      <c r="G51">
        <f t="shared" si="4"/>
        <v>0</v>
      </c>
      <c r="H51">
        <f t="shared" si="4"/>
        <v>0</v>
      </c>
    </row>
    <row r="52" spans="4:14" x14ac:dyDescent="0.25">
      <c r="D52">
        <f t="shared" si="4"/>
        <v>0</v>
      </c>
      <c r="E52">
        <f t="shared" si="4"/>
        <v>0</v>
      </c>
      <c r="F52">
        <f t="shared" si="4"/>
        <v>0</v>
      </c>
      <c r="G52">
        <f t="shared" si="4"/>
        <v>0</v>
      </c>
      <c r="H52">
        <f t="shared" si="4"/>
        <v>0</v>
      </c>
      <c r="K52" t="s">
        <v>29</v>
      </c>
      <c r="L52">
        <f>(0.03+0.01*C11)*L44+60</f>
        <v>220</v>
      </c>
    </row>
    <row r="53" spans="4:14" x14ac:dyDescent="0.25">
      <c r="D53">
        <f t="shared" si="4"/>
        <v>0</v>
      </c>
      <c r="E53">
        <f t="shared" si="4"/>
        <v>0</v>
      </c>
      <c r="F53">
        <f t="shared" si="4"/>
        <v>0</v>
      </c>
      <c r="G53">
        <f t="shared" si="4"/>
        <v>0</v>
      </c>
      <c r="H53">
        <f t="shared" si="4"/>
        <v>0</v>
      </c>
    </row>
    <row r="54" spans="4:14" x14ac:dyDescent="0.25">
      <c r="D54">
        <f t="shared" si="4"/>
        <v>0</v>
      </c>
      <c r="E54">
        <f t="shared" si="4"/>
        <v>0</v>
      </c>
      <c r="F54">
        <f t="shared" si="4"/>
        <v>0</v>
      </c>
      <c r="G54">
        <f t="shared" si="4"/>
        <v>0</v>
      </c>
      <c r="H54">
        <f t="shared" si="4"/>
        <v>0</v>
      </c>
    </row>
    <row r="55" spans="4:14" x14ac:dyDescent="0.25">
      <c r="D55">
        <f t="shared" si="4"/>
        <v>0</v>
      </c>
      <c r="E55">
        <f t="shared" si="4"/>
        <v>0</v>
      </c>
      <c r="F55">
        <f t="shared" si="4"/>
        <v>0</v>
      </c>
      <c r="G55">
        <f t="shared" si="4"/>
        <v>0</v>
      </c>
      <c r="H55">
        <f t="shared" si="4"/>
        <v>0</v>
      </c>
      <c r="K55" t="s">
        <v>33</v>
      </c>
      <c r="L55">
        <f>F13</f>
        <v>344</v>
      </c>
      <c r="M55">
        <v>9</v>
      </c>
      <c r="N55">
        <f>M55*(1-Q46*0.01)</f>
        <v>9</v>
      </c>
    </row>
    <row r="56" spans="4:14" x14ac:dyDescent="0.25">
      <c r="D56">
        <f t="shared" si="4"/>
        <v>0</v>
      </c>
      <c r="E56">
        <f t="shared" si="4"/>
        <v>0</v>
      </c>
      <c r="F56">
        <f t="shared" si="4"/>
        <v>0</v>
      </c>
      <c r="G56">
        <f t="shared" si="4"/>
        <v>0</v>
      </c>
      <c r="H56">
        <f t="shared" si="4"/>
        <v>0</v>
      </c>
    </row>
    <row r="57" spans="4:14" x14ac:dyDescent="0.25">
      <c r="D57">
        <f t="shared" si="4"/>
        <v>0</v>
      </c>
      <c r="E57">
        <f t="shared" si="4"/>
        <v>0</v>
      </c>
      <c r="F57">
        <f t="shared" si="4"/>
        <v>0</v>
      </c>
      <c r="G57">
        <f t="shared" si="4"/>
        <v>0</v>
      </c>
      <c r="H57">
        <f t="shared" si="4"/>
        <v>0</v>
      </c>
    </row>
    <row r="58" spans="4:14" x14ac:dyDescent="0.25">
      <c r="D58">
        <f t="shared" si="4"/>
        <v>0</v>
      </c>
      <c r="E58">
        <f t="shared" si="4"/>
        <v>0</v>
      </c>
      <c r="F58">
        <f t="shared" si="4"/>
        <v>0</v>
      </c>
      <c r="G58">
        <f t="shared" si="4"/>
        <v>0</v>
      </c>
      <c r="H58">
        <f t="shared" si="4"/>
        <v>0</v>
      </c>
    </row>
    <row r="59" spans="4:14" x14ac:dyDescent="0.25">
      <c r="D59">
        <f t="shared" si="4"/>
        <v>0</v>
      </c>
      <c r="E59">
        <f t="shared" si="4"/>
        <v>0</v>
      </c>
      <c r="F59">
        <f t="shared" si="4"/>
        <v>0</v>
      </c>
      <c r="G59">
        <f t="shared" si="4"/>
        <v>0</v>
      </c>
      <c r="H59">
        <f t="shared" si="4"/>
        <v>0</v>
      </c>
    </row>
    <row r="60" spans="4:14" x14ac:dyDescent="0.25">
      <c r="D60">
        <f t="shared" si="4"/>
        <v>0</v>
      </c>
      <c r="E60">
        <f t="shared" si="4"/>
        <v>0</v>
      </c>
      <c r="F60">
        <f t="shared" si="4"/>
        <v>0</v>
      </c>
      <c r="G60">
        <f t="shared" si="4"/>
        <v>0</v>
      </c>
      <c r="H60">
        <f t="shared" si="4"/>
        <v>0</v>
      </c>
    </row>
    <row r="61" spans="4:14" x14ac:dyDescent="0.25">
      <c r="D61">
        <f t="shared" si="4"/>
        <v>0</v>
      </c>
      <c r="E61">
        <f t="shared" si="4"/>
        <v>0</v>
      </c>
      <c r="F61">
        <f t="shared" si="4"/>
        <v>0</v>
      </c>
      <c r="G61">
        <f t="shared" si="4"/>
        <v>0</v>
      </c>
      <c r="H61">
        <f t="shared" si="4"/>
        <v>0</v>
      </c>
    </row>
    <row r="62" spans="4:14" x14ac:dyDescent="0.25">
      <c r="D62">
        <f t="shared" si="4"/>
        <v>0</v>
      </c>
      <c r="E62">
        <f t="shared" si="4"/>
        <v>0</v>
      </c>
      <c r="F62">
        <f t="shared" si="4"/>
        <v>0</v>
      </c>
      <c r="G62">
        <f t="shared" si="4"/>
        <v>0</v>
      </c>
      <c r="H62">
        <f t="shared" si="4"/>
        <v>0</v>
      </c>
    </row>
    <row r="63" spans="4:14" x14ac:dyDescent="0.25">
      <c r="D63">
        <f t="shared" si="4"/>
        <v>0</v>
      </c>
      <c r="E63">
        <f t="shared" si="4"/>
        <v>0</v>
      </c>
      <c r="F63">
        <f t="shared" si="4"/>
        <v>0</v>
      </c>
      <c r="G63">
        <f t="shared" si="4"/>
        <v>0</v>
      </c>
      <c r="H63">
        <f t="shared" si="4"/>
        <v>0</v>
      </c>
    </row>
    <row r="64" spans="4:14" x14ac:dyDescent="0.25">
      <c r="D64">
        <f t="shared" si="4"/>
        <v>0</v>
      </c>
      <c r="E64">
        <f t="shared" si="4"/>
        <v>0</v>
      </c>
      <c r="F64">
        <f t="shared" si="4"/>
        <v>0</v>
      </c>
      <c r="G64">
        <f t="shared" si="4"/>
        <v>0</v>
      </c>
      <c r="H64">
        <f t="shared" si="4"/>
        <v>0</v>
      </c>
      <c r="L64" t="s">
        <v>287</v>
      </c>
      <c r="M64" t="s">
        <v>133</v>
      </c>
    </row>
    <row r="65" spans="2:17" x14ac:dyDescent="0.25">
      <c r="D65">
        <f t="shared" si="4"/>
        <v>0</v>
      </c>
      <c r="E65">
        <f t="shared" si="4"/>
        <v>0</v>
      </c>
      <c r="F65">
        <f t="shared" si="4"/>
        <v>0</v>
      </c>
      <c r="G65">
        <f t="shared" si="4"/>
        <v>0</v>
      </c>
      <c r="H65">
        <f t="shared" si="4"/>
        <v>0</v>
      </c>
      <c r="K65" t="s">
        <v>222</v>
      </c>
      <c r="L65">
        <f>L49</f>
        <v>412.16399999999999</v>
      </c>
      <c r="M65">
        <f>L65/(N49)</f>
        <v>206.08199999999999</v>
      </c>
    </row>
    <row r="66" spans="2:17" x14ac:dyDescent="0.25">
      <c r="D66">
        <f t="shared" ref="D66:H74" si="5">D37*$B37</f>
        <v>0</v>
      </c>
      <c r="E66">
        <f t="shared" si="5"/>
        <v>0</v>
      </c>
      <c r="F66">
        <f t="shared" si="5"/>
        <v>0</v>
      </c>
      <c r="G66">
        <f t="shared" si="5"/>
        <v>0</v>
      </c>
      <c r="H66">
        <f t="shared" si="5"/>
        <v>0</v>
      </c>
      <c r="K66" t="s">
        <v>223</v>
      </c>
      <c r="L66">
        <f>L52</f>
        <v>220</v>
      </c>
      <c r="M66">
        <f>L52*AA12/3</f>
        <v>141.16006666666669</v>
      </c>
    </row>
    <row r="67" spans="2:17" x14ac:dyDescent="0.25">
      <c r="D67">
        <f t="shared" si="5"/>
        <v>0</v>
      </c>
      <c r="E67">
        <f t="shared" si="5"/>
        <v>0</v>
      </c>
      <c r="F67">
        <f t="shared" si="5"/>
        <v>0</v>
      </c>
      <c r="G67">
        <f t="shared" si="5"/>
        <v>0</v>
      </c>
      <c r="H67">
        <f t="shared" si="5"/>
        <v>0</v>
      </c>
      <c r="K67" t="s">
        <v>224</v>
      </c>
      <c r="L67">
        <f>L55</f>
        <v>344</v>
      </c>
      <c r="M67">
        <f>L67/(N55)</f>
        <v>38.222222222222221</v>
      </c>
    </row>
    <row r="68" spans="2:17" x14ac:dyDescent="0.25">
      <c r="D68">
        <f t="shared" si="5"/>
        <v>0</v>
      </c>
      <c r="E68">
        <f t="shared" si="5"/>
        <v>0</v>
      </c>
      <c r="F68">
        <f t="shared" si="5"/>
        <v>0</v>
      </c>
      <c r="G68">
        <f t="shared" si="5"/>
        <v>0</v>
      </c>
      <c r="H68">
        <f t="shared" si="5"/>
        <v>0</v>
      </c>
      <c r="K68" t="s">
        <v>294</v>
      </c>
    </row>
    <row r="69" spans="2:17" x14ac:dyDescent="0.25">
      <c r="D69">
        <f t="shared" si="5"/>
        <v>0</v>
      </c>
      <c r="E69">
        <f t="shared" si="5"/>
        <v>0</v>
      </c>
      <c r="F69">
        <f t="shared" si="5"/>
        <v>0</v>
      </c>
      <c r="G69">
        <f t="shared" si="5"/>
        <v>0</v>
      </c>
      <c r="H69">
        <f t="shared" si="5"/>
        <v>0</v>
      </c>
      <c r="K69" t="s">
        <v>233</v>
      </c>
      <c r="L69">
        <f>SUM(L65:L67)</f>
        <v>976.16399999999999</v>
      </c>
      <c r="M69">
        <f>SUM(M65:M67)</f>
        <v>385.46428888888892</v>
      </c>
    </row>
    <row r="70" spans="2:17" x14ac:dyDescent="0.25">
      <c r="D70">
        <f t="shared" si="5"/>
        <v>0</v>
      </c>
      <c r="E70">
        <f t="shared" si="5"/>
        <v>0</v>
      </c>
      <c r="F70">
        <f t="shared" si="5"/>
        <v>0</v>
      </c>
      <c r="G70">
        <f t="shared" si="5"/>
        <v>0</v>
      </c>
      <c r="H70">
        <f t="shared" si="5"/>
        <v>0</v>
      </c>
      <c r="K70" t="s">
        <v>239</v>
      </c>
      <c r="M70">
        <f>B37*(24+1.5*C4)+B27*(25+C4)</f>
        <v>0</v>
      </c>
    </row>
    <row r="71" spans="2:17" x14ac:dyDescent="0.25">
      <c r="D71">
        <f t="shared" si="5"/>
        <v>0</v>
      </c>
      <c r="E71">
        <f t="shared" si="5"/>
        <v>0</v>
      </c>
      <c r="F71">
        <f t="shared" si="5"/>
        <v>0</v>
      </c>
      <c r="G71">
        <f t="shared" si="5"/>
        <v>0</v>
      </c>
      <c r="H71">
        <f t="shared" si="5"/>
        <v>0</v>
      </c>
      <c r="K71" t="s">
        <v>232</v>
      </c>
      <c r="M71">
        <f>K101</f>
        <v>965.27730304200043</v>
      </c>
    </row>
    <row r="72" spans="2:17" x14ac:dyDescent="0.25">
      <c r="D72">
        <f t="shared" si="5"/>
        <v>0</v>
      </c>
      <c r="E72">
        <f t="shared" si="5"/>
        <v>0</v>
      </c>
      <c r="F72">
        <f t="shared" si="5"/>
        <v>0</v>
      </c>
      <c r="G72">
        <f t="shared" si="5"/>
        <v>0</v>
      </c>
      <c r="H72">
        <f t="shared" si="5"/>
        <v>0</v>
      </c>
      <c r="K72" t="s">
        <v>234</v>
      </c>
      <c r="M72" s="2">
        <f>M71+M69+M70</f>
        <v>1350.7415919308894</v>
      </c>
      <c r="Q72" s="2"/>
    </row>
    <row r="73" spans="2:17" x14ac:dyDescent="0.25">
      <c r="D73">
        <f t="shared" si="5"/>
        <v>0</v>
      </c>
      <c r="E73">
        <f t="shared" si="5"/>
        <v>0</v>
      </c>
      <c r="F73">
        <f t="shared" si="5"/>
        <v>0</v>
      </c>
      <c r="G73">
        <f t="shared" si="5"/>
        <v>0</v>
      </c>
      <c r="H73">
        <f t="shared" si="5"/>
        <v>0</v>
      </c>
      <c r="K73" t="s">
        <v>331</v>
      </c>
      <c r="M73">
        <v>0</v>
      </c>
    </row>
    <row r="74" spans="2:17" x14ac:dyDescent="0.25">
      <c r="D74">
        <f t="shared" si="5"/>
        <v>0</v>
      </c>
      <c r="E74">
        <f t="shared" si="5"/>
        <v>0</v>
      </c>
      <c r="F74">
        <f t="shared" si="5"/>
        <v>0</v>
      </c>
      <c r="G74">
        <f t="shared" si="5"/>
        <v>0</v>
      </c>
      <c r="H74">
        <f t="shared" si="5"/>
        <v>0</v>
      </c>
      <c r="K74" t="s">
        <v>329</v>
      </c>
      <c r="M74">
        <f>M8*2/1.5*B91</f>
        <v>0</v>
      </c>
    </row>
    <row r="75" spans="2:17" x14ac:dyDescent="0.25">
      <c r="C75" s="2" t="s">
        <v>73</v>
      </c>
      <c r="D75">
        <f>SUM(D49:D74)</f>
        <v>0</v>
      </c>
      <c r="E75">
        <f>SUM(E49:E74)</f>
        <v>0</v>
      </c>
      <c r="F75">
        <f>SUM(F49:F74)</f>
        <v>0</v>
      </c>
      <c r="G75">
        <f>SUM(G49:G74)</f>
        <v>0</v>
      </c>
      <c r="H75">
        <f>SUM(H49:H74)</f>
        <v>0</v>
      </c>
      <c r="K75" t="s">
        <v>330</v>
      </c>
      <c r="M75">
        <f>B88*10*C4*AA10</f>
        <v>346.48380000000009</v>
      </c>
    </row>
    <row r="76" spans="2:17" x14ac:dyDescent="0.25">
      <c r="K76" t="s">
        <v>234</v>
      </c>
      <c r="M76">
        <f>M75+M74+M72+M73</f>
        <v>1697.2253919308896</v>
      </c>
    </row>
    <row r="78" spans="2:17" x14ac:dyDescent="0.25">
      <c r="I78" s="2" t="s">
        <v>40</v>
      </c>
      <c r="J78" s="2" t="s">
        <v>37</v>
      </c>
      <c r="K78" s="2" t="s">
        <v>38</v>
      </c>
      <c r="L78" s="2" t="s">
        <v>41</v>
      </c>
    </row>
    <row r="79" spans="2:17" x14ac:dyDescent="0.25">
      <c r="B79" s="2" t="s">
        <v>35</v>
      </c>
      <c r="C79" s="2" t="s">
        <v>36</v>
      </c>
      <c r="D79" s="2" t="s">
        <v>37</v>
      </c>
      <c r="E79" s="2" t="s">
        <v>38</v>
      </c>
      <c r="F79" s="2" t="s">
        <v>39</v>
      </c>
      <c r="J79">
        <f>D134</f>
        <v>145</v>
      </c>
      <c r="K79">
        <f>E134</f>
        <v>1.1000000000000001</v>
      </c>
      <c r="L79">
        <f>MIN(F134,1)</f>
        <v>0.55000000000000004</v>
      </c>
    </row>
    <row r="80" spans="2:17" x14ac:dyDescent="0.25">
      <c r="B80">
        <v>1</v>
      </c>
      <c r="C80" t="s">
        <v>43</v>
      </c>
      <c r="D80">
        <v>80</v>
      </c>
      <c r="E80">
        <v>0</v>
      </c>
      <c r="F80">
        <v>0.2</v>
      </c>
    </row>
    <row r="81" spans="2:11" x14ac:dyDescent="0.25">
      <c r="B81">
        <v>1</v>
      </c>
      <c r="C81" t="s">
        <v>44</v>
      </c>
      <c r="D81">
        <v>0</v>
      </c>
      <c r="E81">
        <v>0.5</v>
      </c>
      <c r="F81">
        <v>0.35</v>
      </c>
      <c r="I81" t="s">
        <v>12</v>
      </c>
      <c r="K81">
        <f>AA10</f>
        <v>1.9249100000000003</v>
      </c>
    </row>
    <row r="82" spans="2:11" x14ac:dyDescent="0.25">
      <c r="C82" t="s">
        <v>45</v>
      </c>
      <c r="E82">
        <v>0.4</v>
      </c>
      <c r="F82">
        <v>0.2</v>
      </c>
    </row>
    <row r="83" spans="2:11" x14ac:dyDescent="0.25">
      <c r="B83">
        <v>1</v>
      </c>
      <c r="C83" t="s">
        <v>46</v>
      </c>
      <c r="D83">
        <v>40</v>
      </c>
      <c r="E83">
        <v>0</v>
      </c>
      <c r="F83">
        <v>0</v>
      </c>
      <c r="I83" t="s">
        <v>48</v>
      </c>
      <c r="K83">
        <v>2.5</v>
      </c>
    </row>
    <row r="84" spans="2:11" x14ac:dyDescent="0.25">
      <c r="C84" t="s">
        <v>47</v>
      </c>
      <c r="D84">
        <v>80</v>
      </c>
      <c r="E84">
        <v>0</v>
      </c>
      <c r="F84">
        <v>0</v>
      </c>
    </row>
    <row r="85" spans="2:11" x14ac:dyDescent="0.25">
      <c r="C85" t="s">
        <v>49</v>
      </c>
      <c r="D85">
        <v>80</v>
      </c>
      <c r="I85" t="s">
        <v>51</v>
      </c>
      <c r="K85">
        <f>S10</f>
        <v>274.77600000000001</v>
      </c>
    </row>
    <row r="86" spans="2:11" x14ac:dyDescent="0.25">
      <c r="C86" t="s">
        <v>50</v>
      </c>
      <c r="D86">
        <v>7</v>
      </c>
      <c r="I86" t="s">
        <v>53</v>
      </c>
      <c r="K86">
        <f>K85*(1+1.5*L79)</f>
        <v>501.46620000000007</v>
      </c>
    </row>
    <row r="87" spans="2:11" x14ac:dyDescent="0.25">
      <c r="C87" t="s">
        <v>52</v>
      </c>
      <c r="D87">
        <v>25</v>
      </c>
      <c r="E87">
        <v>0.5</v>
      </c>
      <c r="I87" t="s">
        <v>55</v>
      </c>
      <c r="K87">
        <f>K85*IF(B80,2.5,2)</f>
        <v>686.94</v>
      </c>
    </row>
    <row r="88" spans="2:11" x14ac:dyDescent="0.25">
      <c r="B88">
        <v>1</v>
      </c>
      <c r="C88" t="s">
        <v>54</v>
      </c>
      <c r="D88">
        <v>25</v>
      </c>
      <c r="E88">
        <v>0.4</v>
      </c>
      <c r="F88">
        <v>0</v>
      </c>
    </row>
    <row r="89" spans="2:11" x14ac:dyDescent="0.25">
      <c r="C89" t="s">
        <v>56</v>
      </c>
      <c r="D89">
        <v>30</v>
      </c>
      <c r="E89">
        <v>0</v>
      </c>
      <c r="F89">
        <v>0.15</v>
      </c>
      <c r="I89" t="s">
        <v>58</v>
      </c>
      <c r="K89">
        <f>S10*K81</f>
        <v>528.91907016000016</v>
      </c>
    </row>
    <row r="90" spans="2:11" x14ac:dyDescent="0.25">
      <c r="B90">
        <v>1</v>
      </c>
      <c r="C90" t="s">
        <v>57</v>
      </c>
      <c r="E90">
        <v>0.2</v>
      </c>
      <c r="I90" t="s">
        <v>201</v>
      </c>
      <c r="K90">
        <f>B92*40*K81</f>
        <v>0</v>
      </c>
    </row>
    <row r="91" spans="2:11" x14ac:dyDescent="0.25">
      <c r="C91" t="s">
        <v>59</v>
      </c>
      <c r="D91">
        <v>30</v>
      </c>
      <c r="E91">
        <v>0.3</v>
      </c>
      <c r="F91">
        <v>0.1</v>
      </c>
      <c r="I91" t="s">
        <v>60</v>
      </c>
      <c r="K91">
        <f>K89*(1+1.5*L79)</f>
        <v>965.27730304200043</v>
      </c>
    </row>
    <row r="92" spans="2:11" x14ac:dyDescent="0.25">
      <c r="C92" t="s">
        <v>198</v>
      </c>
      <c r="E92">
        <v>0.5</v>
      </c>
    </row>
    <row r="93" spans="2:11" x14ac:dyDescent="0.25">
      <c r="C93" t="s">
        <v>199</v>
      </c>
      <c r="D93">
        <v>45</v>
      </c>
      <c r="I93" t="s">
        <v>202</v>
      </c>
      <c r="K93">
        <f>K91+K90</f>
        <v>965.27730304200043</v>
      </c>
    </row>
    <row r="94" spans="2:11" x14ac:dyDescent="0.25">
      <c r="C94" t="s">
        <v>61</v>
      </c>
      <c r="D94">
        <v>20</v>
      </c>
    </row>
    <row r="95" spans="2:11" x14ac:dyDescent="0.25">
      <c r="C95" t="s">
        <v>62</v>
      </c>
      <c r="D95">
        <v>60</v>
      </c>
    </row>
    <row r="96" spans="2:11" x14ac:dyDescent="0.25">
      <c r="C96" t="s">
        <v>63</v>
      </c>
      <c r="D96">
        <v>25</v>
      </c>
      <c r="I96" t="s">
        <v>200</v>
      </c>
      <c r="K96">
        <f>AA12</f>
        <v>1.9249100000000003</v>
      </c>
    </row>
    <row r="97" spans="3:11" x14ac:dyDescent="0.25">
      <c r="C97" t="s">
        <v>64</v>
      </c>
      <c r="D97">
        <v>50</v>
      </c>
      <c r="I97" t="s">
        <v>203</v>
      </c>
      <c r="K97">
        <f>S10*K96</f>
        <v>528.91907016000016</v>
      </c>
    </row>
    <row r="98" spans="3:11" x14ac:dyDescent="0.25">
      <c r="C98" t="s">
        <v>65</v>
      </c>
      <c r="D98">
        <v>25</v>
      </c>
      <c r="I98" t="s">
        <v>204</v>
      </c>
      <c r="K98">
        <f>K97*(1+1.5*L79)</f>
        <v>965.27730304200043</v>
      </c>
    </row>
    <row r="99" spans="3:11" x14ac:dyDescent="0.25">
      <c r="C99" t="s">
        <v>66</v>
      </c>
      <c r="D99">
        <v>25</v>
      </c>
      <c r="I99" t="s">
        <v>205</v>
      </c>
      <c r="K99">
        <f>B92*40*K96</f>
        <v>0</v>
      </c>
    </row>
    <row r="100" spans="3:11" x14ac:dyDescent="0.25">
      <c r="C100" t="s">
        <v>67</v>
      </c>
      <c r="D100">
        <v>40</v>
      </c>
    </row>
    <row r="101" spans="3:11" x14ac:dyDescent="0.25">
      <c r="C101" t="s">
        <v>68</v>
      </c>
      <c r="D101">
        <v>75</v>
      </c>
      <c r="I101" t="s">
        <v>206</v>
      </c>
      <c r="K101">
        <f>K99+K98</f>
        <v>965.27730304200043</v>
      </c>
    </row>
    <row r="102" spans="3:11" x14ac:dyDescent="0.25">
      <c r="C102" t="s">
        <v>69</v>
      </c>
      <c r="D102">
        <v>10</v>
      </c>
    </row>
    <row r="103" spans="3:11" x14ac:dyDescent="0.25">
      <c r="C103" t="s">
        <v>70</v>
      </c>
      <c r="D103">
        <v>25</v>
      </c>
    </row>
    <row r="104" spans="3:11" x14ac:dyDescent="0.25">
      <c r="C104" t="s">
        <v>71</v>
      </c>
      <c r="D104">
        <v>50</v>
      </c>
    </row>
    <row r="108" spans="3:11" x14ac:dyDescent="0.25">
      <c r="C108" s="2" t="s">
        <v>72</v>
      </c>
    </row>
    <row r="109" spans="3:11" x14ac:dyDescent="0.25">
      <c r="D109">
        <f t="shared" ref="D109:D133" si="6">D80*B80</f>
        <v>80</v>
      </c>
      <c r="E109">
        <f t="shared" ref="E109:E133" si="7">E80*B80</f>
        <v>0</v>
      </c>
      <c r="F109">
        <f t="shared" ref="F109:F133" si="8">F80*B80</f>
        <v>0.2</v>
      </c>
    </row>
    <row r="110" spans="3:11" x14ac:dyDescent="0.25">
      <c r="D110">
        <f t="shared" si="6"/>
        <v>0</v>
      </c>
      <c r="E110">
        <f t="shared" si="7"/>
        <v>0.5</v>
      </c>
      <c r="F110">
        <f t="shared" si="8"/>
        <v>0.35</v>
      </c>
    </row>
    <row r="111" spans="3:11" x14ac:dyDescent="0.25">
      <c r="D111">
        <f t="shared" si="6"/>
        <v>0</v>
      </c>
      <c r="E111">
        <f t="shared" si="7"/>
        <v>0</v>
      </c>
      <c r="F111">
        <f t="shared" si="8"/>
        <v>0</v>
      </c>
    </row>
    <row r="112" spans="3:11" x14ac:dyDescent="0.25">
      <c r="D112">
        <f t="shared" si="6"/>
        <v>40</v>
      </c>
      <c r="E112">
        <f t="shared" si="7"/>
        <v>0</v>
      </c>
      <c r="F112">
        <f t="shared" si="8"/>
        <v>0</v>
      </c>
    </row>
    <row r="113" spans="4:6" x14ac:dyDescent="0.25">
      <c r="D113">
        <f t="shared" si="6"/>
        <v>0</v>
      </c>
      <c r="E113">
        <f t="shared" si="7"/>
        <v>0</v>
      </c>
      <c r="F113">
        <f t="shared" si="8"/>
        <v>0</v>
      </c>
    </row>
    <row r="114" spans="4:6" x14ac:dyDescent="0.25">
      <c r="D114">
        <f t="shared" si="6"/>
        <v>0</v>
      </c>
      <c r="E114">
        <f t="shared" si="7"/>
        <v>0</v>
      </c>
      <c r="F114">
        <f t="shared" si="8"/>
        <v>0</v>
      </c>
    </row>
    <row r="115" spans="4:6" x14ac:dyDescent="0.25">
      <c r="D115">
        <f t="shared" si="6"/>
        <v>0</v>
      </c>
      <c r="E115">
        <f t="shared" si="7"/>
        <v>0</v>
      </c>
      <c r="F115">
        <f t="shared" si="8"/>
        <v>0</v>
      </c>
    </row>
    <row r="116" spans="4:6" x14ac:dyDescent="0.25">
      <c r="D116">
        <f t="shared" si="6"/>
        <v>0</v>
      </c>
      <c r="E116">
        <f t="shared" si="7"/>
        <v>0</v>
      </c>
      <c r="F116">
        <f t="shared" si="8"/>
        <v>0</v>
      </c>
    </row>
    <row r="117" spans="4:6" x14ac:dyDescent="0.25">
      <c r="D117">
        <f t="shared" si="6"/>
        <v>25</v>
      </c>
      <c r="E117">
        <f t="shared" si="7"/>
        <v>0.4</v>
      </c>
      <c r="F117">
        <f t="shared" si="8"/>
        <v>0</v>
      </c>
    </row>
    <row r="118" spans="4:6" x14ac:dyDescent="0.25">
      <c r="D118">
        <f t="shared" si="6"/>
        <v>0</v>
      </c>
      <c r="E118">
        <f t="shared" si="7"/>
        <v>0</v>
      </c>
      <c r="F118">
        <f t="shared" si="8"/>
        <v>0</v>
      </c>
    </row>
    <row r="119" spans="4:6" x14ac:dyDescent="0.25">
      <c r="D119">
        <f t="shared" si="6"/>
        <v>0</v>
      </c>
      <c r="E119">
        <f t="shared" si="7"/>
        <v>0.2</v>
      </c>
      <c r="F119">
        <f t="shared" si="8"/>
        <v>0</v>
      </c>
    </row>
    <row r="120" spans="4:6" x14ac:dyDescent="0.25">
      <c r="D120">
        <f t="shared" si="6"/>
        <v>0</v>
      </c>
      <c r="E120">
        <f t="shared" si="7"/>
        <v>0</v>
      </c>
      <c r="F120">
        <f t="shared" si="8"/>
        <v>0</v>
      </c>
    </row>
    <row r="121" spans="4:6" x14ac:dyDescent="0.25">
      <c r="D121">
        <f t="shared" si="6"/>
        <v>0</v>
      </c>
      <c r="E121">
        <f t="shared" si="7"/>
        <v>0</v>
      </c>
      <c r="F121">
        <f t="shared" si="8"/>
        <v>0</v>
      </c>
    </row>
    <row r="122" spans="4:6" x14ac:dyDescent="0.25">
      <c r="D122">
        <f t="shared" si="6"/>
        <v>0</v>
      </c>
      <c r="E122">
        <f t="shared" si="7"/>
        <v>0</v>
      </c>
      <c r="F122">
        <f t="shared" si="8"/>
        <v>0</v>
      </c>
    </row>
    <row r="123" spans="4:6" x14ac:dyDescent="0.25">
      <c r="D123">
        <f t="shared" si="6"/>
        <v>0</v>
      </c>
      <c r="E123">
        <f t="shared" si="7"/>
        <v>0</v>
      </c>
      <c r="F123">
        <f t="shared" si="8"/>
        <v>0</v>
      </c>
    </row>
    <row r="124" spans="4:6" x14ac:dyDescent="0.25">
      <c r="D124">
        <f t="shared" si="6"/>
        <v>0</v>
      </c>
      <c r="E124">
        <f t="shared" si="7"/>
        <v>0</v>
      </c>
      <c r="F124">
        <f t="shared" si="8"/>
        <v>0</v>
      </c>
    </row>
    <row r="125" spans="4:6" x14ac:dyDescent="0.25">
      <c r="D125">
        <f t="shared" si="6"/>
        <v>0</v>
      </c>
      <c r="E125">
        <f t="shared" si="7"/>
        <v>0</v>
      </c>
      <c r="F125">
        <f t="shared" si="8"/>
        <v>0</v>
      </c>
    </row>
    <row r="126" spans="4:6" x14ac:dyDescent="0.25">
      <c r="D126">
        <f t="shared" si="6"/>
        <v>0</v>
      </c>
      <c r="E126">
        <f t="shared" si="7"/>
        <v>0</v>
      </c>
      <c r="F126">
        <f t="shared" si="8"/>
        <v>0</v>
      </c>
    </row>
    <row r="127" spans="4:6" x14ac:dyDescent="0.25">
      <c r="D127">
        <f t="shared" si="6"/>
        <v>0</v>
      </c>
      <c r="E127">
        <f t="shared" si="7"/>
        <v>0</v>
      </c>
      <c r="F127">
        <f t="shared" si="8"/>
        <v>0</v>
      </c>
    </row>
    <row r="128" spans="4:6" x14ac:dyDescent="0.25">
      <c r="D128">
        <f t="shared" si="6"/>
        <v>0</v>
      </c>
      <c r="E128">
        <f t="shared" si="7"/>
        <v>0</v>
      </c>
      <c r="F128">
        <f t="shared" si="8"/>
        <v>0</v>
      </c>
    </row>
    <row r="129" spans="3:6" x14ac:dyDescent="0.25">
      <c r="D129">
        <f t="shared" si="6"/>
        <v>0</v>
      </c>
      <c r="E129">
        <f t="shared" si="7"/>
        <v>0</v>
      </c>
      <c r="F129">
        <f t="shared" si="8"/>
        <v>0</v>
      </c>
    </row>
    <row r="130" spans="3:6" x14ac:dyDescent="0.25">
      <c r="D130">
        <f t="shared" si="6"/>
        <v>0</v>
      </c>
      <c r="E130">
        <f t="shared" si="7"/>
        <v>0</v>
      </c>
      <c r="F130">
        <f t="shared" si="8"/>
        <v>0</v>
      </c>
    </row>
    <row r="131" spans="3:6" x14ac:dyDescent="0.25">
      <c r="D131">
        <f t="shared" si="6"/>
        <v>0</v>
      </c>
      <c r="E131">
        <f t="shared" si="7"/>
        <v>0</v>
      </c>
      <c r="F131">
        <f t="shared" si="8"/>
        <v>0</v>
      </c>
    </row>
    <row r="132" spans="3:6" x14ac:dyDescent="0.25">
      <c r="D132">
        <f t="shared" si="6"/>
        <v>0</v>
      </c>
      <c r="E132">
        <f t="shared" si="7"/>
        <v>0</v>
      </c>
      <c r="F132">
        <f t="shared" si="8"/>
        <v>0</v>
      </c>
    </row>
    <row r="133" spans="3:6" x14ac:dyDescent="0.25">
      <c r="D133">
        <f t="shared" si="6"/>
        <v>0</v>
      </c>
      <c r="E133">
        <f t="shared" si="7"/>
        <v>0</v>
      </c>
      <c r="F133">
        <f t="shared" si="8"/>
        <v>0</v>
      </c>
    </row>
    <row r="134" spans="3:6" x14ac:dyDescent="0.25">
      <c r="C134" s="2" t="s">
        <v>73</v>
      </c>
      <c r="D134">
        <f>SUM(D109:D133)</f>
        <v>145</v>
      </c>
      <c r="E134">
        <f>SUM(E109:E133)</f>
        <v>1.1000000000000001</v>
      </c>
      <c r="F134">
        <f>SUM(F109:F133)</f>
        <v>0.55000000000000004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3:AB134"/>
  <sheetViews>
    <sheetView topLeftCell="D1" zoomScaleNormal="100" workbookViewId="0">
      <selection activeCell="AA11" sqref="AA11"/>
    </sheetView>
  </sheetViews>
  <sheetFormatPr defaultRowHeight="15" x14ac:dyDescent="0.25"/>
  <cols>
    <col min="3" max="3" width="19.5703125" customWidth="1"/>
  </cols>
  <sheetData>
    <row r="3" spans="2:28" x14ac:dyDescent="0.25">
      <c r="B3" t="s">
        <v>332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R3" t="s">
        <v>4</v>
      </c>
      <c r="U3" t="s">
        <v>5</v>
      </c>
      <c r="X3" t="s">
        <v>134</v>
      </c>
      <c r="Z3" t="s">
        <v>157</v>
      </c>
    </row>
    <row r="4" spans="2:28" x14ac:dyDescent="0.25">
      <c r="B4" t="s">
        <v>6</v>
      </c>
      <c r="C4">
        <v>6</v>
      </c>
      <c r="E4" t="s">
        <v>124</v>
      </c>
      <c r="F4">
        <v>3.95</v>
      </c>
      <c r="H4" t="s">
        <v>7</v>
      </c>
      <c r="I4">
        <v>625.64</v>
      </c>
      <c r="J4">
        <v>98</v>
      </c>
      <c r="L4" t="s">
        <v>7</v>
      </c>
      <c r="M4">
        <f>I4+J4*$F$4</f>
        <v>1012.74</v>
      </c>
      <c r="O4" t="s">
        <v>9</v>
      </c>
      <c r="P4">
        <f>J79+M8</f>
        <v>219.01599999999999</v>
      </c>
      <c r="Q4">
        <v>1</v>
      </c>
      <c r="R4" t="s">
        <v>10</v>
      </c>
      <c r="S4">
        <f>Q4*(4+10/18*C4)</f>
        <v>7.3333333333333339</v>
      </c>
      <c r="U4" t="s">
        <v>10</v>
      </c>
      <c r="V4">
        <v>0</v>
      </c>
      <c r="X4">
        <v>510</v>
      </c>
      <c r="Z4" t="s">
        <v>19</v>
      </c>
      <c r="AA4">
        <f>I9</f>
        <v>0.67</v>
      </c>
    </row>
    <row r="5" spans="2:28" x14ac:dyDescent="0.25">
      <c r="H5" t="s">
        <v>120</v>
      </c>
      <c r="I5">
        <v>8.51</v>
      </c>
      <c r="J5">
        <v>0.9</v>
      </c>
      <c r="L5" t="s">
        <v>120</v>
      </c>
      <c r="M5">
        <f t="shared" ref="M5:M12" si="0">I5+J5*$F$4</f>
        <v>12.065</v>
      </c>
      <c r="O5" t="s">
        <v>12</v>
      </c>
      <c r="P5">
        <f>M9+I9*K79</f>
        <v>1.7895500000000002</v>
      </c>
      <c r="R5" t="s">
        <v>13</v>
      </c>
      <c r="S5">
        <v>0</v>
      </c>
      <c r="U5" t="s">
        <v>13</v>
      </c>
      <c r="V5">
        <v>0</v>
      </c>
      <c r="Z5" t="s">
        <v>168</v>
      </c>
      <c r="AA5">
        <f>F4*J9</f>
        <v>0.11455000000000001</v>
      </c>
    </row>
    <row r="6" spans="2:28" x14ac:dyDescent="0.25">
      <c r="H6" t="s">
        <v>121</v>
      </c>
      <c r="L6" t="s">
        <v>121</v>
      </c>
      <c r="R6" t="s">
        <v>16</v>
      </c>
      <c r="S6">
        <f>J79</f>
        <v>145</v>
      </c>
      <c r="U6" t="s">
        <v>16</v>
      </c>
      <c r="V6">
        <f>30*B32</f>
        <v>0</v>
      </c>
      <c r="Z6" t="s">
        <v>10</v>
      </c>
      <c r="AA6">
        <v>0</v>
      </c>
    </row>
    <row r="7" spans="2:28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L7" t="s">
        <v>122</v>
      </c>
      <c r="O7" t="s">
        <v>7</v>
      </c>
      <c r="P7">
        <f>M4+L20</f>
        <v>1012.74</v>
      </c>
      <c r="R7" s="2" t="s">
        <v>288</v>
      </c>
      <c r="S7">
        <f>5*C8</f>
        <v>25</v>
      </c>
      <c r="Z7" t="s">
        <v>158</v>
      </c>
      <c r="AA7">
        <v>0.28000000000000003</v>
      </c>
    </row>
    <row r="8" spans="2:28" x14ac:dyDescent="0.25">
      <c r="B8" t="s">
        <v>25</v>
      </c>
      <c r="C8">
        <v>5</v>
      </c>
      <c r="D8">
        <f>30+40*C8</f>
        <v>230</v>
      </c>
      <c r="E8">
        <f>0.6*V10+S8</f>
        <v>177.33333333333334</v>
      </c>
      <c r="F8">
        <f>E8+D8</f>
        <v>407.33333333333337</v>
      </c>
      <c r="H8" t="s">
        <v>8</v>
      </c>
      <c r="I8">
        <v>61.375999999999998</v>
      </c>
      <c r="J8">
        <v>3.2</v>
      </c>
      <c r="L8" t="s">
        <v>8</v>
      </c>
      <c r="M8">
        <f t="shared" si="0"/>
        <v>74.015999999999991</v>
      </c>
      <c r="O8" t="s">
        <v>120</v>
      </c>
      <c r="P8">
        <f>(M5+M5*M20+N20+V17*0.01)*(1+0.2*B28)</f>
        <v>22.856222000000002</v>
      </c>
      <c r="R8" t="s">
        <v>26</v>
      </c>
      <c r="S8">
        <f>SUM(S4:S7)</f>
        <v>177.33333333333334</v>
      </c>
      <c r="U8" t="s">
        <v>26</v>
      </c>
      <c r="V8">
        <f>SUM(V4:V7)</f>
        <v>0</v>
      </c>
      <c r="Z8" t="s">
        <v>159</v>
      </c>
      <c r="AA8">
        <f>K79</f>
        <v>1.5</v>
      </c>
    </row>
    <row r="9" spans="2:28" x14ac:dyDescent="0.25">
      <c r="H9" t="s">
        <v>14</v>
      </c>
      <c r="I9">
        <v>0.67</v>
      </c>
      <c r="J9">
        <v>2.9000000000000001E-2</v>
      </c>
      <c r="L9" t="s">
        <v>14</v>
      </c>
      <c r="M9">
        <f t="shared" si="0"/>
        <v>0.78455000000000008</v>
      </c>
      <c r="O9" t="s">
        <v>15</v>
      </c>
      <c r="P9">
        <f>M10+J20</f>
        <v>36.353000000000002</v>
      </c>
      <c r="Q9">
        <v>1</v>
      </c>
      <c r="R9" t="s">
        <v>358</v>
      </c>
      <c r="S9">
        <f>S8*(1+0.05*Q9)</f>
        <v>186.20000000000002</v>
      </c>
    </row>
    <row r="10" spans="2:28" x14ac:dyDescent="0.25">
      <c r="H10" t="s">
        <v>15</v>
      </c>
      <c r="I10">
        <v>24.108000000000001</v>
      </c>
      <c r="J10">
        <v>3.1</v>
      </c>
      <c r="L10" t="s">
        <v>15</v>
      </c>
      <c r="M10">
        <f t="shared" si="0"/>
        <v>36.353000000000002</v>
      </c>
      <c r="O10" t="s">
        <v>23</v>
      </c>
      <c r="P10">
        <f>M11+K20</f>
        <v>37.037500000000001</v>
      </c>
      <c r="R10" t="s">
        <v>31</v>
      </c>
      <c r="S10">
        <f>S9+M8</f>
        <v>260.21600000000001</v>
      </c>
      <c r="U10" t="s">
        <v>32</v>
      </c>
      <c r="V10">
        <f>V8</f>
        <v>0</v>
      </c>
      <c r="Z10" t="s">
        <v>160</v>
      </c>
      <c r="AA10">
        <f>(1+SUM(AA5:AA8))*AA4</f>
        <v>1.9393485000000001</v>
      </c>
    </row>
    <row r="11" spans="2:28" x14ac:dyDescent="0.25">
      <c r="B11" t="s">
        <v>29</v>
      </c>
      <c r="C11">
        <v>5</v>
      </c>
      <c r="D11">
        <f>5+35*C11</f>
        <v>180</v>
      </c>
      <c r="E11">
        <f>0.6*V10</f>
        <v>0</v>
      </c>
      <c r="F11">
        <f>E11+D11</f>
        <v>180</v>
      </c>
      <c r="H11" t="s">
        <v>23</v>
      </c>
      <c r="I11">
        <v>32.1</v>
      </c>
      <c r="J11">
        <v>1.25</v>
      </c>
      <c r="L11" t="s">
        <v>23</v>
      </c>
      <c r="M11">
        <f t="shared" si="0"/>
        <v>37.037500000000001</v>
      </c>
      <c r="Z11" t="s">
        <v>20</v>
      </c>
      <c r="AA11">
        <f>0.12+0.12*CEILING(C4/3,1)</f>
        <v>0.36</v>
      </c>
    </row>
    <row r="12" spans="2:28" x14ac:dyDescent="0.25">
      <c r="H12" t="s">
        <v>123</v>
      </c>
      <c r="I12">
        <v>345</v>
      </c>
      <c r="L12" t="s">
        <v>123</v>
      </c>
      <c r="M12">
        <f t="shared" si="0"/>
        <v>345</v>
      </c>
      <c r="O12" t="s">
        <v>91</v>
      </c>
      <c r="R12" t="s">
        <v>86</v>
      </c>
      <c r="U12" t="s">
        <v>88</v>
      </c>
      <c r="X12" t="s">
        <v>95</v>
      </c>
      <c r="Z12" t="s">
        <v>167</v>
      </c>
      <c r="AA12">
        <f>AA10+AA11*I9</f>
        <v>2.1805485</v>
      </c>
    </row>
    <row r="13" spans="2:28" x14ac:dyDescent="0.25">
      <c r="B13" t="s">
        <v>33</v>
      </c>
      <c r="C13">
        <v>5</v>
      </c>
      <c r="D13">
        <f>40+30*C13</f>
        <v>190</v>
      </c>
      <c r="E13">
        <f>1.2*S9</f>
        <v>223.44000000000003</v>
      </c>
      <c r="F13">
        <f>E13+D13</f>
        <v>413.44000000000005</v>
      </c>
      <c r="O13" t="s">
        <v>92</v>
      </c>
      <c r="P13">
        <v>1</v>
      </c>
      <c r="R13" t="s">
        <v>2</v>
      </c>
      <c r="S13">
        <f>M10</f>
        <v>36.353000000000002</v>
      </c>
      <c r="U13" t="s">
        <v>2</v>
      </c>
      <c r="V13">
        <f>M4</f>
        <v>1012.74</v>
      </c>
      <c r="X13" t="s">
        <v>2</v>
      </c>
      <c r="Y13">
        <f>M11</f>
        <v>37.037500000000001</v>
      </c>
    </row>
    <row r="14" spans="2:28" x14ac:dyDescent="0.25">
      <c r="O14" t="s">
        <v>93</v>
      </c>
      <c r="P14">
        <v>1</v>
      </c>
      <c r="R14" t="s">
        <v>10</v>
      </c>
      <c r="S14">
        <v>0</v>
      </c>
      <c r="U14" t="s">
        <v>16</v>
      </c>
      <c r="V14">
        <f>L20</f>
        <v>0</v>
      </c>
      <c r="X14" t="s">
        <v>10</v>
      </c>
      <c r="Y14">
        <v>0</v>
      </c>
    </row>
    <row r="15" spans="2:28" x14ac:dyDescent="0.25">
      <c r="O15" t="s">
        <v>94</v>
      </c>
      <c r="P15">
        <v>3</v>
      </c>
      <c r="R15" t="s">
        <v>13</v>
      </c>
      <c r="S15">
        <v>9</v>
      </c>
      <c r="U15" t="s">
        <v>10</v>
      </c>
      <c r="V15">
        <f>36+0.03*(V13+V14)*P14</f>
        <v>66.382199999999997</v>
      </c>
      <c r="X15" t="s">
        <v>13</v>
      </c>
      <c r="Y15">
        <f>AB16*3*C4/18+AB15*1.34</f>
        <v>9</v>
      </c>
      <c r="AA15" t="s">
        <v>386</v>
      </c>
      <c r="AB15">
        <v>0</v>
      </c>
    </row>
    <row r="16" spans="2:28" x14ac:dyDescent="0.25">
      <c r="B16" t="s">
        <v>34</v>
      </c>
      <c r="C16">
        <v>3</v>
      </c>
      <c r="D16">
        <f>40+60*C16</f>
        <v>220</v>
      </c>
      <c r="E16">
        <f>0.7*V10</f>
        <v>0</v>
      </c>
      <c r="F16">
        <f>E16+D16</f>
        <v>220</v>
      </c>
      <c r="R16" t="s">
        <v>16</v>
      </c>
      <c r="S16">
        <f>J20</f>
        <v>0</v>
      </c>
      <c r="X16" t="s">
        <v>16</v>
      </c>
      <c r="Y16">
        <f>K20</f>
        <v>0</v>
      </c>
      <c r="AA16" t="s">
        <v>387</v>
      </c>
      <c r="AB16">
        <v>9</v>
      </c>
    </row>
    <row r="17" spans="2:26" x14ac:dyDescent="0.25">
      <c r="R17" s="2"/>
      <c r="S17" s="2"/>
      <c r="U17" t="s">
        <v>89</v>
      </c>
      <c r="V17">
        <f>SUM(V13:V15)</f>
        <v>1079.1222</v>
      </c>
    </row>
    <row r="18" spans="2:26" x14ac:dyDescent="0.25">
      <c r="J18" s="2" t="s">
        <v>40</v>
      </c>
      <c r="R18" t="s">
        <v>10</v>
      </c>
      <c r="S18">
        <f>P13*0.025*SUM(S14:S17)</f>
        <v>0.22500000000000001</v>
      </c>
      <c r="X18" t="s">
        <v>10</v>
      </c>
      <c r="Y18">
        <f>P13*0.025*SUM(Y14:Y17)</f>
        <v>0.22500000000000001</v>
      </c>
    </row>
    <row r="19" spans="2:26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</row>
    <row r="20" spans="2:26" x14ac:dyDescent="0.25">
      <c r="C20" t="s">
        <v>74</v>
      </c>
      <c r="F20">
        <v>1000</v>
      </c>
      <c r="J20">
        <f>D75</f>
        <v>0</v>
      </c>
      <c r="K20">
        <f>E75</f>
        <v>0</v>
      </c>
      <c r="L20">
        <f>F75*(1+0.25*B34)</f>
        <v>0</v>
      </c>
      <c r="M20">
        <f>G75</f>
        <v>0</v>
      </c>
      <c r="N20">
        <f>H75</f>
        <v>0</v>
      </c>
      <c r="R20" t="s">
        <v>90</v>
      </c>
      <c r="S20">
        <f>SUM(S13:S18)</f>
        <v>45.578000000000003</v>
      </c>
      <c r="X20" t="s">
        <v>96</v>
      </c>
      <c r="Y20">
        <f>SUM(Y13:Y18)</f>
        <v>46.262500000000003</v>
      </c>
    </row>
    <row r="21" spans="2:26" x14ac:dyDescent="0.25">
      <c r="C21" t="s">
        <v>117</v>
      </c>
      <c r="F21">
        <v>800</v>
      </c>
      <c r="H21">
        <f>V17*0.03</f>
        <v>32.373666</v>
      </c>
    </row>
    <row r="22" spans="2:26" x14ac:dyDescent="0.25">
      <c r="C22" t="s">
        <v>75</v>
      </c>
      <c r="F22">
        <v>700</v>
      </c>
      <c r="J22" s="2" t="s">
        <v>42</v>
      </c>
      <c r="L22" s="2" t="s">
        <v>130</v>
      </c>
      <c r="R22" t="s">
        <v>98</v>
      </c>
      <c r="S22" t="s">
        <v>99</v>
      </c>
      <c r="U22" t="s">
        <v>100</v>
      </c>
      <c r="V22" t="s">
        <v>101</v>
      </c>
      <c r="W22">
        <v>4.1900000000000004</v>
      </c>
      <c r="Y22" t="s">
        <v>118</v>
      </c>
    </row>
    <row r="23" spans="2:26" x14ac:dyDescent="0.25">
      <c r="C23" t="s">
        <v>80</v>
      </c>
      <c r="F23">
        <v>650</v>
      </c>
      <c r="J23" t="s">
        <v>25</v>
      </c>
      <c r="N23">
        <f>F8*3</f>
        <v>1222</v>
      </c>
      <c r="P23" s="2" t="s">
        <v>97</v>
      </c>
      <c r="R23">
        <v>0</v>
      </c>
      <c r="S23">
        <v>0.06</v>
      </c>
      <c r="U23">
        <f>$S$20*(1-S23)-R23</f>
        <v>42.843319999999999</v>
      </c>
      <c r="V23">
        <f>$V$17*(100+U23)/100</f>
        <v>1541.4539773370402</v>
      </c>
      <c r="W23">
        <v>20715.592674699998</v>
      </c>
      <c r="Y23">
        <f>($V$17+$B$29*(50+10*$C$4))*(100+U23)/100</f>
        <v>1541.4539773370402</v>
      </c>
      <c r="Z23">
        <f>Y23/W23</f>
        <v>7.4410324702880531E-2</v>
      </c>
    </row>
    <row r="24" spans="2:26" x14ac:dyDescent="0.25">
      <c r="C24" t="s">
        <v>76</v>
      </c>
      <c r="D24">
        <v>70</v>
      </c>
      <c r="F24">
        <v>500</v>
      </c>
      <c r="J24" t="s">
        <v>29</v>
      </c>
      <c r="R24">
        <v>0</v>
      </c>
      <c r="S24">
        <v>0.38900000000000001</v>
      </c>
      <c r="U24">
        <f>$S$20*(1-S24)-R24</f>
        <v>27.848158000000002</v>
      </c>
      <c r="V24">
        <f>$V$17*(100+U24)/100</f>
        <v>1379.637855269076</v>
      </c>
      <c r="Y24">
        <f>($V$17+$B$29*(50+10*$C$4))*(100+U24)/100</f>
        <v>1379.637855269076</v>
      </c>
    </row>
    <row r="25" spans="2:26" x14ac:dyDescent="0.25">
      <c r="C25" t="s">
        <v>83</v>
      </c>
      <c r="F25">
        <v>500</v>
      </c>
      <c r="G25">
        <v>1</v>
      </c>
      <c r="J25" t="s">
        <v>33</v>
      </c>
      <c r="N25">
        <f>F13</f>
        <v>413.44000000000005</v>
      </c>
      <c r="R25">
        <v>20</v>
      </c>
      <c r="S25">
        <v>0.06</v>
      </c>
      <c r="U25">
        <f>$S$20*(1-S25)-R25</f>
        <v>22.843319999999999</v>
      </c>
      <c r="V25">
        <f>$V$17*(100+U25)/100</f>
        <v>1325.6295373370399</v>
      </c>
      <c r="Y25">
        <f>($V$17+$B$29*(50+10*$C$4))*(100+U25)/100</f>
        <v>1325.6295373370399</v>
      </c>
    </row>
    <row r="26" spans="2:26" x14ac:dyDescent="0.25">
      <c r="C26" t="s">
        <v>77</v>
      </c>
      <c r="D26">
        <v>45</v>
      </c>
      <c r="F26">
        <v>450</v>
      </c>
      <c r="J26" t="s">
        <v>134</v>
      </c>
      <c r="N26">
        <f>X4</f>
        <v>510</v>
      </c>
      <c r="R26">
        <v>20</v>
      </c>
      <c r="S26">
        <v>0.38900000000000001</v>
      </c>
      <c r="U26">
        <f>$S$20*(1-S26)-R26</f>
        <v>7.8481580000000015</v>
      </c>
      <c r="V26">
        <f>$V$17*(100+U26)/100</f>
        <v>1163.8134152690761</v>
      </c>
      <c r="Y26">
        <f>($V$17+$B$29*(50+10*$C$4))*(100+U26)/100</f>
        <v>1163.8134152690761</v>
      </c>
    </row>
    <row r="27" spans="2:26" x14ac:dyDescent="0.25">
      <c r="C27" t="s">
        <v>78</v>
      </c>
      <c r="E27">
        <v>55</v>
      </c>
      <c r="F27">
        <v>450</v>
      </c>
      <c r="G27">
        <v>1</v>
      </c>
      <c r="R27">
        <v>10</v>
      </c>
      <c r="S27">
        <f>1-(1*0.94*0.65*0.75)</f>
        <v>0.54174999999999995</v>
      </c>
      <c r="U27">
        <f>$S$20*(1-S27)-R27</f>
        <v>10.886118500000002</v>
      </c>
      <c r="V27">
        <f>$V$17*(100+U27)/100</f>
        <v>1196.5967214518071</v>
      </c>
      <c r="W27">
        <v>12376.585678916252</v>
      </c>
      <c r="Y27">
        <f>($V$17+$B$29*(50+10*$C$4))*(100+U27)/100</f>
        <v>1196.5967214518071</v>
      </c>
      <c r="Z27">
        <f>Y27/W27</f>
        <v>9.6682296110972857E-2</v>
      </c>
    </row>
    <row r="28" spans="2:26" x14ac:dyDescent="0.25">
      <c r="C28" t="s">
        <v>79</v>
      </c>
      <c r="E28">
        <v>55</v>
      </c>
      <c r="F28">
        <v>450</v>
      </c>
      <c r="G28">
        <v>1</v>
      </c>
    </row>
    <row r="29" spans="2:26" x14ac:dyDescent="0.25">
      <c r="C29" t="s">
        <v>81</v>
      </c>
      <c r="E29">
        <v>40</v>
      </c>
      <c r="F29">
        <v>400</v>
      </c>
      <c r="G29">
        <v>0.75</v>
      </c>
    </row>
    <row r="30" spans="2:26" x14ac:dyDescent="0.25">
      <c r="C30" t="s">
        <v>82</v>
      </c>
      <c r="F30">
        <v>400</v>
      </c>
      <c r="J30" t="s">
        <v>129</v>
      </c>
      <c r="N30">
        <f>SUM(N23:N25)</f>
        <v>1635.44</v>
      </c>
    </row>
    <row r="31" spans="2:26" x14ac:dyDescent="0.25">
      <c r="C31" t="s">
        <v>84</v>
      </c>
      <c r="F31">
        <v>380</v>
      </c>
      <c r="J31" t="s">
        <v>135</v>
      </c>
      <c r="L31" s="2" t="s">
        <v>137</v>
      </c>
      <c r="N31">
        <f>N30+N26</f>
        <v>2145.44</v>
      </c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</row>
    <row r="32" spans="2:26" x14ac:dyDescent="0.25">
      <c r="C32" t="s">
        <v>59</v>
      </c>
      <c r="F32">
        <v>250</v>
      </c>
      <c r="L32">
        <f>L23-N31</f>
        <v>-2145.44</v>
      </c>
      <c r="R32">
        <v>0</v>
      </c>
      <c r="S32">
        <v>0.06</v>
      </c>
      <c r="U32">
        <f t="shared" ref="U32:U37" si="1">$Y$20*(1-S32)-R32</f>
        <v>43.486750000000001</v>
      </c>
      <c r="V32">
        <f t="shared" ref="V32:V37" si="2">$V$17*(100+U32)/100</f>
        <v>1548.3973733085002</v>
      </c>
      <c r="W32">
        <v>11332.5147474</v>
      </c>
      <c r="Y32">
        <f t="shared" ref="Y32:Y37" si="3">($V$17+$B$29*(50+10*$C$4))*(100+U32)/100</f>
        <v>1548.3973733085002</v>
      </c>
      <c r="Z32">
        <f>Y32/W32</f>
        <v>0.13663316640851902</v>
      </c>
    </row>
    <row r="33" spans="3:26" x14ac:dyDescent="0.25">
      <c r="C33" t="s">
        <v>107</v>
      </c>
      <c r="F33">
        <v>150</v>
      </c>
      <c r="J33" t="s">
        <v>131</v>
      </c>
      <c r="R33">
        <v>0</v>
      </c>
      <c r="S33">
        <v>0.38900000000000001</v>
      </c>
      <c r="U33">
        <f t="shared" si="1"/>
        <v>28.2663875</v>
      </c>
      <c r="V33">
        <f t="shared" si="2"/>
        <v>1384.1510626505251</v>
      </c>
      <c r="Y33">
        <f t="shared" si="3"/>
        <v>1384.1510626505251</v>
      </c>
    </row>
    <row r="34" spans="3:26" x14ac:dyDescent="0.25">
      <c r="C34" t="s">
        <v>85</v>
      </c>
      <c r="F34">
        <v>300</v>
      </c>
      <c r="J34" t="s">
        <v>132</v>
      </c>
      <c r="M34">
        <f>22.5</f>
        <v>22.5</v>
      </c>
      <c r="R34">
        <v>15</v>
      </c>
      <c r="S34">
        <v>0.06</v>
      </c>
      <c r="U34">
        <f t="shared" si="1"/>
        <v>28.486750000000001</v>
      </c>
      <c r="V34">
        <f t="shared" si="2"/>
        <v>1386.5290433084999</v>
      </c>
      <c r="Y34">
        <f t="shared" si="3"/>
        <v>1386.5290433084999</v>
      </c>
    </row>
    <row r="35" spans="3:26" x14ac:dyDescent="0.25">
      <c r="C35" t="s">
        <v>115</v>
      </c>
      <c r="F35">
        <v>80</v>
      </c>
      <c r="H35">
        <v>6</v>
      </c>
      <c r="J35" t="s">
        <v>169</v>
      </c>
      <c r="N35">
        <f>AA10*S10</f>
        <v>504.64950927600006</v>
      </c>
      <c r="R35">
        <v>15</v>
      </c>
      <c r="S35">
        <v>0.38900000000000001</v>
      </c>
      <c r="U35">
        <f t="shared" si="1"/>
        <v>13.2663875</v>
      </c>
      <c r="V35">
        <f t="shared" si="2"/>
        <v>1222.2827326505251</v>
      </c>
      <c r="Y35">
        <f t="shared" si="3"/>
        <v>1222.2827326505251</v>
      </c>
    </row>
    <row r="36" spans="3:26" x14ac:dyDescent="0.25">
      <c r="C36" t="s">
        <v>106</v>
      </c>
      <c r="D36">
        <v>100</v>
      </c>
      <c r="J36" t="s">
        <v>170</v>
      </c>
      <c r="N36" t="e">
        <f>#REF!*S10</f>
        <v>#REF!</v>
      </c>
      <c r="R36">
        <v>30</v>
      </c>
      <c r="S36">
        <v>0.06</v>
      </c>
      <c r="U36">
        <f t="shared" si="1"/>
        <v>13.486750000000001</v>
      </c>
      <c r="V36">
        <f t="shared" si="2"/>
        <v>1224.6607133084999</v>
      </c>
      <c r="Y36">
        <f t="shared" si="3"/>
        <v>1224.6607133084999</v>
      </c>
    </row>
    <row r="37" spans="3:26" x14ac:dyDescent="0.25">
      <c r="C37" t="s">
        <v>105</v>
      </c>
      <c r="D37">
        <v>100</v>
      </c>
      <c r="J37" t="s">
        <v>172</v>
      </c>
      <c r="N37">
        <f>N35+M34</f>
        <v>527.14950927600012</v>
      </c>
      <c r="R37">
        <v>30</v>
      </c>
      <c r="S37">
        <v>0.38900000000000001</v>
      </c>
      <c r="U37">
        <f t="shared" si="1"/>
        <v>-1.7336124999999996</v>
      </c>
      <c r="V37">
        <f t="shared" si="2"/>
        <v>1060.4144026505251</v>
      </c>
      <c r="W37">
        <v>7642.2235858100003</v>
      </c>
      <c r="Y37">
        <f t="shared" si="3"/>
        <v>1060.4144026505251</v>
      </c>
      <c r="Z37">
        <f>Y37/W37</f>
        <v>0.13875731202362246</v>
      </c>
    </row>
    <row r="38" spans="3:26" x14ac:dyDescent="0.25">
      <c r="C38" t="s">
        <v>113</v>
      </c>
      <c r="D38">
        <v>50</v>
      </c>
      <c r="J38" t="s">
        <v>171</v>
      </c>
      <c r="N38" t="e">
        <f>N36+M34</f>
        <v>#REF!</v>
      </c>
    </row>
    <row r="39" spans="3:26" x14ac:dyDescent="0.25">
      <c r="C39" t="s">
        <v>108</v>
      </c>
      <c r="D39">
        <v>40</v>
      </c>
    </row>
    <row r="40" spans="3:26" x14ac:dyDescent="0.25">
      <c r="C40" t="s">
        <v>109</v>
      </c>
      <c r="D40">
        <v>25</v>
      </c>
    </row>
    <row r="41" spans="3:26" x14ac:dyDescent="0.25">
      <c r="C41" t="s">
        <v>114</v>
      </c>
      <c r="D41">
        <v>15</v>
      </c>
      <c r="J41" t="s">
        <v>136</v>
      </c>
      <c r="N41">
        <f>L32/N35</f>
        <v>-4.2513466486432829</v>
      </c>
    </row>
    <row r="42" spans="3:26" x14ac:dyDescent="0.25">
      <c r="C42" t="s">
        <v>116</v>
      </c>
      <c r="E42">
        <v>50</v>
      </c>
      <c r="T42" t="s">
        <v>191</v>
      </c>
      <c r="U42" t="s">
        <v>192</v>
      </c>
    </row>
    <row r="43" spans="3:26" x14ac:dyDescent="0.25">
      <c r="C43" t="s">
        <v>127</v>
      </c>
      <c r="E43">
        <f>3/18*3*C4</f>
        <v>3</v>
      </c>
    </row>
    <row r="44" spans="3:26" x14ac:dyDescent="0.25">
      <c r="C44" t="s">
        <v>119</v>
      </c>
      <c r="D44">
        <v>2</v>
      </c>
      <c r="E44">
        <v>0.9</v>
      </c>
      <c r="F44">
        <v>129</v>
      </c>
      <c r="K44" t="s">
        <v>220</v>
      </c>
      <c r="L44">
        <v>2000</v>
      </c>
      <c r="P44" t="s">
        <v>226</v>
      </c>
      <c r="Q44">
        <v>10</v>
      </c>
      <c r="T44" t="s">
        <v>194</v>
      </c>
      <c r="V44" t="s">
        <v>195</v>
      </c>
      <c r="W44" t="s">
        <v>148</v>
      </c>
    </row>
    <row r="45" spans="3:26" x14ac:dyDescent="0.25">
      <c r="C45" t="s">
        <v>110</v>
      </c>
      <c r="E45">
        <v>25</v>
      </c>
      <c r="K45" t="s">
        <v>221</v>
      </c>
      <c r="L45">
        <v>2200</v>
      </c>
      <c r="P45" t="s">
        <v>227</v>
      </c>
      <c r="Q45">
        <f>5+1.67/18*B2*9</f>
        <v>5</v>
      </c>
      <c r="T45" t="s">
        <v>193</v>
      </c>
      <c r="V45">
        <v>329</v>
      </c>
      <c r="W45">
        <v>594</v>
      </c>
    </row>
    <row r="46" spans="3:26" x14ac:dyDescent="0.25">
      <c r="K46" t="s">
        <v>89</v>
      </c>
      <c r="L46">
        <v>4400</v>
      </c>
      <c r="P46" t="s">
        <v>228</v>
      </c>
      <c r="Q46">
        <v>20</v>
      </c>
      <c r="T46" t="s">
        <v>196</v>
      </c>
      <c r="V46">
        <v>339</v>
      </c>
      <c r="W46">
        <v>730</v>
      </c>
    </row>
    <row r="48" spans="3:26" x14ac:dyDescent="0.25">
      <c r="C48" s="2" t="s">
        <v>72</v>
      </c>
      <c r="L48" t="s">
        <v>218</v>
      </c>
      <c r="M48" t="s">
        <v>268</v>
      </c>
      <c r="N48" t="s">
        <v>269</v>
      </c>
    </row>
    <row r="49" spans="4:14" x14ac:dyDescent="0.25">
      <c r="D49">
        <f>D20*$B20</f>
        <v>0</v>
      </c>
      <c r="E49">
        <f>E20*$B20</f>
        <v>0</v>
      </c>
      <c r="F49">
        <f>F20*$B20</f>
        <v>0</v>
      </c>
      <c r="G49">
        <f>G20*$B20</f>
        <v>0</v>
      </c>
      <c r="H49">
        <f>H20*$B20</f>
        <v>0</v>
      </c>
      <c r="K49" t="s">
        <v>25</v>
      </c>
    </row>
    <row r="50" spans="4:14" x14ac:dyDescent="0.25">
      <c r="D50">
        <f t="shared" ref="D50:H65" si="4">D21*$B21</f>
        <v>0</v>
      </c>
      <c r="E50">
        <f t="shared" si="4"/>
        <v>0</v>
      </c>
      <c r="F50">
        <f t="shared" si="4"/>
        <v>0</v>
      </c>
      <c r="G50">
        <f t="shared" si="4"/>
        <v>0</v>
      </c>
      <c r="H50">
        <f t="shared" si="4"/>
        <v>0</v>
      </c>
    </row>
    <row r="51" spans="4:14" x14ac:dyDescent="0.25">
      <c r="D51">
        <f t="shared" si="4"/>
        <v>0</v>
      </c>
      <c r="E51">
        <f t="shared" si="4"/>
        <v>0</v>
      </c>
      <c r="F51">
        <f t="shared" si="4"/>
        <v>0</v>
      </c>
      <c r="G51">
        <f t="shared" si="4"/>
        <v>0</v>
      </c>
      <c r="H51">
        <f t="shared" si="4"/>
        <v>0</v>
      </c>
    </row>
    <row r="52" spans="4:14" x14ac:dyDescent="0.25">
      <c r="D52">
        <f t="shared" si="4"/>
        <v>0</v>
      </c>
      <c r="E52">
        <f t="shared" si="4"/>
        <v>0</v>
      </c>
      <c r="F52">
        <f t="shared" si="4"/>
        <v>0</v>
      </c>
      <c r="G52">
        <f t="shared" si="4"/>
        <v>0</v>
      </c>
      <c r="H52">
        <f t="shared" si="4"/>
        <v>0</v>
      </c>
      <c r="K52" t="s">
        <v>29</v>
      </c>
    </row>
    <row r="53" spans="4:14" x14ac:dyDescent="0.25">
      <c r="D53">
        <f t="shared" si="4"/>
        <v>0</v>
      </c>
      <c r="E53">
        <f t="shared" si="4"/>
        <v>0</v>
      </c>
      <c r="F53">
        <f t="shared" si="4"/>
        <v>0</v>
      </c>
      <c r="G53">
        <f t="shared" si="4"/>
        <v>0</v>
      </c>
      <c r="H53">
        <f t="shared" si="4"/>
        <v>0</v>
      </c>
    </row>
    <row r="54" spans="4:14" x14ac:dyDescent="0.25">
      <c r="D54">
        <f t="shared" si="4"/>
        <v>0</v>
      </c>
      <c r="E54">
        <f t="shared" si="4"/>
        <v>0</v>
      </c>
      <c r="F54">
        <f t="shared" si="4"/>
        <v>0</v>
      </c>
      <c r="G54">
        <f t="shared" si="4"/>
        <v>0</v>
      </c>
      <c r="H54">
        <f t="shared" si="4"/>
        <v>0</v>
      </c>
    </row>
    <row r="55" spans="4:14" x14ac:dyDescent="0.25">
      <c r="D55">
        <f t="shared" si="4"/>
        <v>0</v>
      </c>
      <c r="E55">
        <f t="shared" si="4"/>
        <v>0</v>
      </c>
      <c r="F55">
        <f t="shared" si="4"/>
        <v>0</v>
      </c>
      <c r="G55">
        <f t="shared" si="4"/>
        <v>0</v>
      </c>
      <c r="H55">
        <f t="shared" si="4"/>
        <v>0</v>
      </c>
      <c r="K55" t="s">
        <v>33</v>
      </c>
      <c r="L55">
        <f>F13</f>
        <v>413.44000000000005</v>
      </c>
      <c r="M55">
        <v>9</v>
      </c>
      <c r="N55">
        <f>M55*(1-Q46*0.01)</f>
        <v>7.2</v>
      </c>
    </row>
    <row r="56" spans="4:14" x14ac:dyDescent="0.25">
      <c r="D56">
        <f t="shared" si="4"/>
        <v>0</v>
      </c>
      <c r="E56">
        <f t="shared" si="4"/>
        <v>0</v>
      </c>
      <c r="F56">
        <f t="shared" si="4"/>
        <v>0</v>
      </c>
      <c r="G56">
        <f t="shared" si="4"/>
        <v>0</v>
      </c>
      <c r="H56">
        <f t="shared" si="4"/>
        <v>0</v>
      </c>
    </row>
    <row r="57" spans="4:14" x14ac:dyDescent="0.25">
      <c r="D57">
        <f t="shared" si="4"/>
        <v>0</v>
      </c>
      <c r="E57">
        <f t="shared" si="4"/>
        <v>0</v>
      </c>
      <c r="F57">
        <f t="shared" si="4"/>
        <v>0</v>
      </c>
      <c r="G57">
        <f t="shared" si="4"/>
        <v>0</v>
      </c>
      <c r="H57">
        <f t="shared" si="4"/>
        <v>0</v>
      </c>
    </row>
    <row r="58" spans="4:14" x14ac:dyDescent="0.25">
      <c r="D58">
        <f t="shared" si="4"/>
        <v>0</v>
      </c>
      <c r="E58">
        <f t="shared" si="4"/>
        <v>0</v>
      </c>
      <c r="F58">
        <f t="shared" si="4"/>
        <v>0</v>
      </c>
      <c r="G58">
        <f t="shared" si="4"/>
        <v>0</v>
      </c>
      <c r="H58">
        <f t="shared" si="4"/>
        <v>0</v>
      </c>
    </row>
    <row r="59" spans="4:14" x14ac:dyDescent="0.25">
      <c r="D59">
        <f t="shared" si="4"/>
        <v>0</v>
      </c>
      <c r="E59">
        <f t="shared" si="4"/>
        <v>0</v>
      </c>
      <c r="F59">
        <f t="shared" si="4"/>
        <v>0</v>
      </c>
      <c r="G59">
        <f t="shared" si="4"/>
        <v>0</v>
      </c>
      <c r="H59">
        <f t="shared" si="4"/>
        <v>0</v>
      </c>
    </row>
    <row r="60" spans="4:14" x14ac:dyDescent="0.25">
      <c r="D60">
        <f t="shared" si="4"/>
        <v>0</v>
      </c>
      <c r="E60">
        <f t="shared" si="4"/>
        <v>0</v>
      </c>
      <c r="F60">
        <f t="shared" si="4"/>
        <v>0</v>
      </c>
      <c r="G60">
        <f t="shared" si="4"/>
        <v>0</v>
      </c>
      <c r="H60">
        <f t="shared" si="4"/>
        <v>0</v>
      </c>
    </row>
    <row r="61" spans="4:14" x14ac:dyDescent="0.25">
      <c r="D61">
        <f t="shared" si="4"/>
        <v>0</v>
      </c>
      <c r="E61">
        <f t="shared" si="4"/>
        <v>0</v>
      </c>
      <c r="F61">
        <f t="shared" si="4"/>
        <v>0</v>
      </c>
      <c r="G61">
        <f t="shared" si="4"/>
        <v>0</v>
      </c>
      <c r="H61">
        <f t="shared" si="4"/>
        <v>0</v>
      </c>
    </row>
    <row r="62" spans="4:14" x14ac:dyDescent="0.25">
      <c r="D62">
        <f t="shared" si="4"/>
        <v>0</v>
      </c>
      <c r="E62">
        <f t="shared" si="4"/>
        <v>0</v>
      </c>
      <c r="F62">
        <f t="shared" si="4"/>
        <v>0</v>
      </c>
      <c r="G62">
        <f t="shared" si="4"/>
        <v>0</v>
      </c>
      <c r="H62">
        <f t="shared" si="4"/>
        <v>0</v>
      </c>
    </row>
    <row r="63" spans="4:14" x14ac:dyDescent="0.25">
      <c r="D63">
        <f t="shared" si="4"/>
        <v>0</v>
      </c>
      <c r="E63">
        <f t="shared" si="4"/>
        <v>0</v>
      </c>
      <c r="F63">
        <f t="shared" si="4"/>
        <v>0</v>
      </c>
      <c r="G63">
        <f t="shared" si="4"/>
        <v>0</v>
      </c>
      <c r="H63">
        <f t="shared" si="4"/>
        <v>0</v>
      </c>
    </row>
    <row r="64" spans="4:14" x14ac:dyDescent="0.25">
      <c r="D64">
        <f t="shared" si="4"/>
        <v>0</v>
      </c>
      <c r="E64">
        <f t="shared" si="4"/>
        <v>0</v>
      </c>
      <c r="F64">
        <f t="shared" si="4"/>
        <v>0</v>
      </c>
      <c r="G64">
        <f t="shared" si="4"/>
        <v>0</v>
      </c>
      <c r="H64">
        <f t="shared" si="4"/>
        <v>0</v>
      </c>
      <c r="L64" t="s">
        <v>287</v>
      </c>
      <c r="M64" t="s">
        <v>133</v>
      </c>
    </row>
    <row r="65" spans="2:17" x14ac:dyDescent="0.25">
      <c r="D65">
        <f t="shared" si="4"/>
        <v>0</v>
      </c>
      <c r="E65">
        <f t="shared" si="4"/>
        <v>0</v>
      </c>
      <c r="F65">
        <f t="shared" si="4"/>
        <v>0</v>
      </c>
      <c r="G65">
        <f t="shared" si="4"/>
        <v>0</v>
      </c>
      <c r="H65">
        <f t="shared" si="4"/>
        <v>0</v>
      </c>
      <c r="K65" t="s">
        <v>222</v>
      </c>
    </row>
    <row r="66" spans="2:17" x14ac:dyDescent="0.25">
      <c r="D66">
        <f t="shared" ref="D66:H74" si="5">D37*$B37</f>
        <v>0</v>
      </c>
      <c r="E66">
        <f t="shared" si="5"/>
        <v>0</v>
      </c>
      <c r="F66">
        <f t="shared" si="5"/>
        <v>0</v>
      </c>
      <c r="G66">
        <f t="shared" si="5"/>
        <v>0</v>
      </c>
      <c r="H66">
        <f t="shared" si="5"/>
        <v>0</v>
      </c>
      <c r="K66" t="s">
        <v>223</v>
      </c>
    </row>
    <row r="67" spans="2:17" x14ac:dyDescent="0.25">
      <c r="D67">
        <f t="shared" si="5"/>
        <v>0</v>
      </c>
      <c r="E67">
        <f t="shared" si="5"/>
        <v>0</v>
      </c>
      <c r="F67">
        <f t="shared" si="5"/>
        <v>0</v>
      </c>
      <c r="G67">
        <f t="shared" si="5"/>
        <v>0</v>
      </c>
      <c r="H67">
        <f t="shared" si="5"/>
        <v>0</v>
      </c>
      <c r="K67" t="s">
        <v>224</v>
      </c>
      <c r="L67">
        <f>L55</f>
        <v>413.44000000000005</v>
      </c>
      <c r="M67">
        <f>L67/(N55)</f>
        <v>57.422222222222231</v>
      </c>
    </row>
    <row r="68" spans="2:17" x14ac:dyDescent="0.25">
      <c r="D68">
        <f t="shared" si="5"/>
        <v>0</v>
      </c>
      <c r="E68">
        <f t="shared" si="5"/>
        <v>0</v>
      </c>
      <c r="F68">
        <f t="shared" si="5"/>
        <v>0</v>
      </c>
      <c r="G68">
        <f t="shared" si="5"/>
        <v>0</v>
      </c>
      <c r="H68">
        <f t="shared" si="5"/>
        <v>0</v>
      </c>
      <c r="K68" t="s">
        <v>294</v>
      </c>
    </row>
    <row r="69" spans="2:17" x14ac:dyDescent="0.25">
      <c r="D69">
        <f t="shared" si="5"/>
        <v>0</v>
      </c>
      <c r="E69">
        <f t="shared" si="5"/>
        <v>0</v>
      </c>
      <c r="F69">
        <f t="shared" si="5"/>
        <v>0</v>
      </c>
      <c r="G69">
        <f t="shared" si="5"/>
        <v>0</v>
      </c>
      <c r="H69">
        <f t="shared" si="5"/>
        <v>0</v>
      </c>
      <c r="K69" t="s">
        <v>233</v>
      </c>
      <c r="L69">
        <f>SUM(L65:L67)</f>
        <v>413.44000000000005</v>
      </c>
      <c r="M69">
        <f>SUM(M65:M67)</f>
        <v>57.422222222222231</v>
      </c>
    </row>
    <row r="70" spans="2:17" x14ac:dyDescent="0.25">
      <c r="D70">
        <f t="shared" si="5"/>
        <v>0</v>
      </c>
      <c r="E70">
        <f t="shared" si="5"/>
        <v>0</v>
      </c>
      <c r="F70">
        <f t="shared" si="5"/>
        <v>0</v>
      </c>
      <c r="G70">
        <f t="shared" si="5"/>
        <v>0</v>
      </c>
      <c r="H70">
        <f t="shared" si="5"/>
        <v>0</v>
      </c>
      <c r="K70" t="s">
        <v>239</v>
      </c>
      <c r="M70">
        <f>B37*(24+1.5*C4)+B27*(25+C4)</f>
        <v>0</v>
      </c>
    </row>
    <row r="71" spans="2:17" x14ac:dyDescent="0.25">
      <c r="D71">
        <f t="shared" si="5"/>
        <v>0</v>
      </c>
      <c r="E71">
        <f t="shared" si="5"/>
        <v>0</v>
      </c>
      <c r="F71">
        <f t="shared" si="5"/>
        <v>0</v>
      </c>
      <c r="G71">
        <f t="shared" si="5"/>
        <v>0</v>
      </c>
      <c r="H71">
        <f t="shared" si="5"/>
        <v>0</v>
      </c>
      <c r="K71" t="s">
        <v>232</v>
      </c>
      <c r="M71">
        <f>K101</f>
        <v>1418.5340211900002</v>
      </c>
    </row>
    <row r="72" spans="2:17" x14ac:dyDescent="0.25">
      <c r="D72">
        <f t="shared" si="5"/>
        <v>0</v>
      </c>
      <c r="E72">
        <f t="shared" si="5"/>
        <v>0</v>
      </c>
      <c r="F72">
        <f t="shared" si="5"/>
        <v>0</v>
      </c>
      <c r="G72">
        <f t="shared" si="5"/>
        <v>0</v>
      </c>
      <c r="H72">
        <f t="shared" si="5"/>
        <v>0</v>
      </c>
      <c r="K72" t="s">
        <v>234</v>
      </c>
      <c r="M72" s="2">
        <f>M71+M69+M70</f>
        <v>1475.9562434122224</v>
      </c>
      <c r="Q72" s="2"/>
    </row>
    <row r="73" spans="2:17" x14ac:dyDescent="0.25">
      <c r="D73">
        <f t="shared" si="5"/>
        <v>0</v>
      </c>
      <c r="E73">
        <f t="shared" si="5"/>
        <v>0</v>
      </c>
      <c r="F73">
        <f t="shared" si="5"/>
        <v>0</v>
      </c>
      <c r="G73">
        <f t="shared" si="5"/>
        <v>0</v>
      </c>
      <c r="H73">
        <f t="shared" si="5"/>
        <v>0</v>
      </c>
      <c r="K73" t="s">
        <v>331</v>
      </c>
      <c r="M73">
        <v>0</v>
      </c>
    </row>
    <row r="74" spans="2:17" x14ac:dyDescent="0.25">
      <c r="D74">
        <f t="shared" si="5"/>
        <v>0</v>
      </c>
      <c r="E74">
        <f t="shared" si="5"/>
        <v>0</v>
      </c>
      <c r="F74">
        <f t="shared" si="5"/>
        <v>0</v>
      </c>
      <c r="G74">
        <f t="shared" si="5"/>
        <v>0</v>
      </c>
      <c r="H74">
        <f t="shared" si="5"/>
        <v>0</v>
      </c>
      <c r="K74" t="s">
        <v>329</v>
      </c>
      <c r="M74">
        <f>M8*2/1.5*B91</f>
        <v>0</v>
      </c>
    </row>
    <row r="75" spans="2:17" x14ac:dyDescent="0.25">
      <c r="C75" s="2" t="s">
        <v>73</v>
      </c>
      <c r="D75">
        <f>SUM(D49:D74)</f>
        <v>0</v>
      </c>
      <c r="E75">
        <f>SUM(E49:E74)</f>
        <v>0</v>
      </c>
      <c r="F75">
        <f>SUM(F49:F74)</f>
        <v>0</v>
      </c>
      <c r="G75">
        <f>SUM(G49:G74)</f>
        <v>0</v>
      </c>
      <c r="H75">
        <f>SUM(H49:H74)</f>
        <v>0</v>
      </c>
      <c r="K75" t="s">
        <v>330</v>
      </c>
      <c r="M75">
        <f>B88*160*AA10</f>
        <v>310.29576000000003</v>
      </c>
    </row>
    <row r="76" spans="2:17" x14ac:dyDescent="0.25">
      <c r="K76" t="s">
        <v>234</v>
      </c>
      <c r="M76">
        <f>M75+M74+M72+M73</f>
        <v>1786.2520034122224</v>
      </c>
    </row>
    <row r="78" spans="2:17" x14ac:dyDescent="0.25">
      <c r="I78" s="2" t="s">
        <v>40</v>
      </c>
      <c r="J78" s="2" t="s">
        <v>37</v>
      </c>
      <c r="K78" s="2" t="s">
        <v>38</v>
      </c>
      <c r="L78" s="2" t="s">
        <v>41</v>
      </c>
    </row>
    <row r="79" spans="2:17" x14ac:dyDescent="0.25">
      <c r="B79" s="2" t="s">
        <v>35</v>
      </c>
      <c r="C79" s="2" t="s">
        <v>36</v>
      </c>
      <c r="D79" s="2" t="s">
        <v>37</v>
      </c>
      <c r="E79" s="2" t="s">
        <v>38</v>
      </c>
      <c r="F79" s="2" t="s">
        <v>39</v>
      </c>
      <c r="J79">
        <f>D134</f>
        <v>145</v>
      </c>
      <c r="K79">
        <f>E134</f>
        <v>1.5</v>
      </c>
      <c r="L79">
        <f>MIN(F134+0.35,1)</f>
        <v>1</v>
      </c>
    </row>
    <row r="80" spans="2:17" x14ac:dyDescent="0.25">
      <c r="B80">
        <v>1</v>
      </c>
      <c r="C80" t="s">
        <v>43</v>
      </c>
      <c r="D80">
        <v>80</v>
      </c>
      <c r="E80">
        <v>0</v>
      </c>
      <c r="F80">
        <v>0.2</v>
      </c>
    </row>
    <row r="81" spans="2:11" x14ac:dyDescent="0.25">
      <c r="B81">
        <v>1</v>
      </c>
      <c r="C81" t="s">
        <v>44</v>
      </c>
      <c r="D81">
        <v>0</v>
      </c>
      <c r="E81">
        <v>0.5</v>
      </c>
      <c r="F81">
        <v>0.35</v>
      </c>
      <c r="I81" t="s">
        <v>12</v>
      </c>
      <c r="K81">
        <f>AA10</f>
        <v>1.9393485000000001</v>
      </c>
    </row>
    <row r="82" spans="2:11" x14ac:dyDescent="0.25">
      <c r="B82">
        <v>1</v>
      </c>
      <c r="C82" t="s">
        <v>45</v>
      </c>
      <c r="E82">
        <v>0.4</v>
      </c>
      <c r="F82">
        <v>0.2</v>
      </c>
    </row>
    <row r="83" spans="2:11" x14ac:dyDescent="0.25">
      <c r="B83">
        <v>1</v>
      </c>
      <c r="C83" t="s">
        <v>46</v>
      </c>
      <c r="D83">
        <v>40</v>
      </c>
      <c r="E83">
        <v>0</v>
      </c>
      <c r="F83">
        <v>0</v>
      </c>
      <c r="I83" t="s">
        <v>48</v>
      </c>
      <c r="K83">
        <v>2.5</v>
      </c>
    </row>
    <row r="84" spans="2:11" x14ac:dyDescent="0.25">
      <c r="C84" t="s">
        <v>47</v>
      </c>
      <c r="D84">
        <v>80</v>
      </c>
      <c r="E84">
        <v>0</v>
      </c>
      <c r="F84">
        <v>0</v>
      </c>
    </row>
    <row r="85" spans="2:11" x14ac:dyDescent="0.25">
      <c r="C85" t="s">
        <v>49</v>
      </c>
      <c r="D85">
        <v>80</v>
      </c>
      <c r="I85" t="s">
        <v>51</v>
      </c>
      <c r="K85">
        <f>S10</f>
        <v>260.21600000000001</v>
      </c>
    </row>
    <row r="86" spans="2:11" x14ac:dyDescent="0.25">
      <c r="C86" t="s">
        <v>50</v>
      </c>
      <c r="D86">
        <v>7</v>
      </c>
      <c r="I86" t="s">
        <v>53</v>
      </c>
      <c r="K86">
        <f>K85*(1+1.5*L79)</f>
        <v>650.54</v>
      </c>
    </row>
    <row r="87" spans="2:11" x14ac:dyDescent="0.25">
      <c r="C87" t="s">
        <v>52</v>
      </c>
      <c r="D87">
        <v>25</v>
      </c>
      <c r="E87">
        <v>0.5</v>
      </c>
      <c r="I87" t="s">
        <v>55</v>
      </c>
      <c r="K87">
        <f>K85*IF(B80,2.5,2)</f>
        <v>650.54</v>
      </c>
    </row>
    <row r="88" spans="2:11" x14ac:dyDescent="0.25">
      <c r="B88">
        <v>1</v>
      </c>
      <c r="C88" t="s">
        <v>54</v>
      </c>
      <c r="D88">
        <v>25</v>
      </c>
      <c r="E88">
        <v>0.4</v>
      </c>
      <c r="F88">
        <v>0</v>
      </c>
    </row>
    <row r="89" spans="2:11" x14ac:dyDescent="0.25">
      <c r="C89" t="s">
        <v>56</v>
      </c>
      <c r="D89">
        <v>30</v>
      </c>
      <c r="E89">
        <v>0</v>
      </c>
      <c r="F89">
        <v>0.15</v>
      </c>
      <c r="I89" t="s">
        <v>58</v>
      </c>
      <c r="K89">
        <f>S10*K81</f>
        <v>504.64950927600006</v>
      </c>
    </row>
    <row r="90" spans="2:11" x14ac:dyDescent="0.25">
      <c r="B90">
        <v>1</v>
      </c>
      <c r="C90" t="s">
        <v>57</v>
      </c>
      <c r="E90">
        <v>0.2</v>
      </c>
      <c r="I90" t="s">
        <v>201</v>
      </c>
      <c r="K90">
        <f>B92*40*K81</f>
        <v>0</v>
      </c>
    </row>
    <row r="91" spans="2:11" x14ac:dyDescent="0.25">
      <c r="C91" t="s">
        <v>59</v>
      </c>
      <c r="D91">
        <v>30</v>
      </c>
      <c r="E91">
        <v>0.3</v>
      </c>
      <c r="F91">
        <v>0.1</v>
      </c>
      <c r="I91" t="s">
        <v>60</v>
      </c>
      <c r="K91">
        <f>K89*(1+1.5*L79)</f>
        <v>1261.6237731900001</v>
      </c>
    </row>
    <row r="92" spans="2:11" x14ac:dyDescent="0.25">
      <c r="C92" t="s">
        <v>198</v>
      </c>
      <c r="E92">
        <v>0.5</v>
      </c>
    </row>
    <row r="93" spans="2:11" x14ac:dyDescent="0.25">
      <c r="C93" t="s">
        <v>199</v>
      </c>
      <c r="D93">
        <v>45</v>
      </c>
      <c r="I93" t="s">
        <v>202</v>
      </c>
      <c r="K93">
        <f>K91+K90</f>
        <v>1261.6237731900001</v>
      </c>
    </row>
    <row r="94" spans="2:11" x14ac:dyDescent="0.25">
      <c r="C94" t="s">
        <v>61</v>
      </c>
      <c r="D94">
        <v>20</v>
      </c>
    </row>
    <row r="95" spans="2:11" x14ac:dyDescent="0.25">
      <c r="C95" t="s">
        <v>62</v>
      </c>
      <c r="D95">
        <v>60</v>
      </c>
    </row>
    <row r="96" spans="2:11" x14ac:dyDescent="0.25">
      <c r="C96" t="s">
        <v>63</v>
      </c>
      <c r="D96">
        <v>25</v>
      </c>
      <c r="I96" t="s">
        <v>200</v>
      </c>
      <c r="K96">
        <f>AA12</f>
        <v>2.1805485</v>
      </c>
    </row>
    <row r="97" spans="3:11" x14ac:dyDescent="0.25">
      <c r="C97" t="s">
        <v>64</v>
      </c>
      <c r="D97">
        <v>50</v>
      </c>
      <c r="I97" t="s">
        <v>203</v>
      </c>
      <c r="K97">
        <f>S10*K96</f>
        <v>567.41360847600004</v>
      </c>
    </row>
    <row r="98" spans="3:11" x14ac:dyDescent="0.25">
      <c r="C98" t="s">
        <v>65</v>
      </c>
      <c r="D98">
        <v>25</v>
      </c>
      <c r="I98" t="s">
        <v>204</v>
      </c>
      <c r="K98">
        <f>K97*(1+1.5*L79)</f>
        <v>1418.5340211900002</v>
      </c>
    </row>
    <row r="99" spans="3:11" x14ac:dyDescent="0.25">
      <c r="C99" t="s">
        <v>66</v>
      </c>
      <c r="D99">
        <v>25</v>
      </c>
      <c r="I99" t="s">
        <v>205</v>
      </c>
      <c r="K99">
        <f>B92*40*K96</f>
        <v>0</v>
      </c>
    </row>
    <row r="100" spans="3:11" x14ac:dyDescent="0.25">
      <c r="C100" t="s">
        <v>67</v>
      </c>
      <c r="D100">
        <v>40</v>
      </c>
    </row>
    <row r="101" spans="3:11" x14ac:dyDescent="0.25">
      <c r="C101" t="s">
        <v>68</v>
      </c>
      <c r="D101">
        <v>75</v>
      </c>
      <c r="I101" t="s">
        <v>206</v>
      </c>
      <c r="K101">
        <f>K99+K98</f>
        <v>1418.5340211900002</v>
      </c>
    </row>
    <row r="102" spans="3:11" x14ac:dyDescent="0.25">
      <c r="C102" t="s">
        <v>69</v>
      </c>
      <c r="D102">
        <v>10</v>
      </c>
    </row>
    <row r="103" spans="3:11" x14ac:dyDescent="0.25">
      <c r="C103" t="s">
        <v>70</v>
      </c>
      <c r="D103">
        <v>25</v>
      </c>
    </row>
    <row r="104" spans="3:11" x14ac:dyDescent="0.25">
      <c r="C104" t="s">
        <v>71</v>
      </c>
      <c r="D104">
        <v>50</v>
      </c>
    </row>
    <row r="108" spans="3:11" x14ac:dyDescent="0.25">
      <c r="C108" s="2" t="s">
        <v>72</v>
      </c>
    </row>
    <row r="109" spans="3:11" x14ac:dyDescent="0.25">
      <c r="D109">
        <f t="shared" ref="D109:D133" si="6">D80*B80</f>
        <v>80</v>
      </c>
      <c r="E109">
        <f t="shared" ref="E109:E133" si="7">E80*B80</f>
        <v>0</v>
      </c>
      <c r="F109">
        <f t="shared" ref="F109:F133" si="8">F80*B80</f>
        <v>0.2</v>
      </c>
    </row>
    <row r="110" spans="3:11" x14ac:dyDescent="0.25">
      <c r="D110">
        <f t="shared" si="6"/>
        <v>0</v>
      </c>
      <c r="E110">
        <f t="shared" si="7"/>
        <v>0.5</v>
      </c>
      <c r="F110">
        <f t="shared" si="8"/>
        <v>0.35</v>
      </c>
    </row>
    <row r="111" spans="3:11" x14ac:dyDescent="0.25">
      <c r="D111">
        <f t="shared" si="6"/>
        <v>0</v>
      </c>
      <c r="E111">
        <f t="shared" si="7"/>
        <v>0.4</v>
      </c>
      <c r="F111">
        <f t="shared" si="8"/>
        <v>0.2</v>
      </c>
    </row>
    <row r="112" spans="3:11" x14ac:dyDescent="0.25">
      <c r="D112">
        <f t="shared" si="6"/>
        <v>40</v>
      </c>
      <c r="E112">
        <f t="shared" si="7"/>
        <v>0</v>
      </c>
      <c r="F112">
        <f t="shared" si="8"/>
        <v>0</v>
      </c>
    </row>
    <row r="113" spans="4:6" x14ac:dyDescent="0.25">
      <c r="D113">
        <f t="shared" si="6"/>
        <v>0</v>
      </c>
      <c r="E113">
        <f t="shared" si="7"/>
        <v>0</v>
      </c>
      <c r="F113">
        <f t="shared" si="8"/>
        <v>0</v>
      </c>
    </row>
    <row r="114" spans="4:6" x14ac:dyDescent="0.25">
      <c r="D114">
        <f t="shared" si="6"/>
        <v>0</v>
      </c>
      <c r="E114">
        <f t="shared" si="7"/>
        <v>0</v>
      </c>
      <c r="F114">
        <f t="shared" si="8"/>
        <v>0</v>
      </c>
    </row>
    <row r="115" spans="4:6" x14ac:dyDescent="0.25">
      <c r="D115">
        <f t="shared" si="6"/>
        <v>0</v>
      </c>
      <c r="E115">
        <f t="shared" si="7"/>
        <v>0</v>
      </c>
      <c r="F115">
        <f t="shared" si="8"/>
        <v>0</v>
      </c>
    </row>
    <row r="116" spans="4:6" x14ac:dyDescent="0.25">
      <c r="D116">
        <f t="shared" si="6"/>
        <v>0</v>
      </c>
      <c r="E116">
        <f t="shared" si="7"/>
        <v>0</v>
      </c>
      <c r="F116">
        <f t="shared" si="8"/>
        <v>0</v>
      </c>
    </row>
    <row r="117" spans="4:6" x14ac:dyDescent="0.25">
      <c r="D117">
        <f t="shared" si="6"/>
        <v>25</v>
      </c>
      <c r="E117">
        <f t="shared" si="7"/>
        <v>0.4</v>
      </c>
      <c r="F117">
        <f t="shared" si="8"/>
        <v>0</v>
      </c>
    </row>
    <row r="118" spans="4:6" x14ac:dyDescent="0.25">
      <c r="D118">
        <f t="shared" si="6"/>
        <v>0</v>
      </c>
      <c r="E118">
        <f t="shared" si="7"/>
        <v>0</v>
      </c>
      <c r="F118">
        <f t="shared" si="8"/>
        <v>0</v>
      </c>
    </row>
    <row r="119" spans="4:6" x14ac:dyDescent="0.25">
      <c r="D119">
        <f t="shared" si="6"/>
        <v>0</v>
      </c>
      <c r="E119">
        <f t="shared" si="7"/>
        <v>0.2</v>
      </c>
      <c r="F119">
        <f t="shared" si="8"/>
        <v>0</v>
      </c>
    </row>
    <row r="120" spans="4:6" x14ac:dyDescent="0.25">
      <c r="D120">
        <f t="shared" si="6"/>
        <v>0</v>
      </c>
      <c r="E120">
        <f t="shared" si="7"/>
        <v>0</v>
      </c>
      <c r="F120">
        <f t="shared" si="8"/>
        <v>0</v>
      </c>
    </row>
    <row r="121" spans="4:6" x14ac:dyDescent="0.25">
      <c r="D121">
        <f t="shared" si="6"/>
        <v>0</v>
      </c>
      <c r="E121">
        <f t="shared" si="7"/>
        <v>0</v>
      </c>
      <c r="F121">
        <f t="shared" si="8"/>
        <v>0</v>
      </c>
    </row>
    <row r="122" spans="4:6" x14ac:dyDescent="0.25">
      <c r="D122">
        <f t="shared" si="6"/>
        <v>0</v>
      </c>
      <c r="E122">
        <f t="shared" si="7"/>
        <v>0</v>
      </c>
      <c r="F122">
        <f t="shared" si="8"/>
        <v>0</v>
      </c>
    </row>
    <row r="123" spans="4:6" x14ac:dyDescent="0.25">
      <c r="D123">
        <f t="shared" si="6"/>
        <v>0</v>
      </c>
      <c r="E123">
        <f t="shared" si="7"/>
        <v>0</v>
      </c>
      <c r="F123">
        <f t="shared" si="8"/>
        <v>0</v>
      </c>
    </row>
    <row r="124" spans="4:6" x14ac:dyDescent="0.25">
      <c r="D124">
        <f t="shared" si="6"/>
        <v>0</v>
      </c>
      <c r="E124">
        <f t="shared" si="7"/>
        <v>0</v>
      </c>
      <c r="F124">
        <f t="shared" si="8"/>
        <v>0</v>
      </c>
    </row>
    <row r="125" spans="4:6" x14ac:dyDescent="0.25">
      <c r="D125">
        <f t="shared" si="6"/>
        <v>0</v>
      </c>
      <c r="E125">
        <f t="shared" si="7"/>
        <v>0</v>
      </c>
      <c r="F125">
        <f t="shared" si="8"/>
        <v>0</v>
      </c>
    </row>
    <row r="126" spans="4:6" x14ac:dyDescent="0.25">
      <c r="D126">
        <f t="shared" si="6"/>
        <v>0</v>
      </c>
      <c r="E126">
        <f t="shared" si="7"/>
        <v>0</v>
      </c>
      <c r="F126">
        <f t="shared" si="8"/>
        <v>0</v>
      </c>
    </row>
    <row r="127" spans="4:6" x14ac:dyDescent="0.25">
      <c r="D127">
        <f t="shared" si="6"/>
        <v>0</v>
      </c>
      <c r="E127">
        <f t="shared" si="7"/>
        <v>0</v>
      </c>
      <c r="F127">
        <f t="shared" si="8"/>
        <v>0</v>
      </c>
    </row>
    <row r="128" spans="4:6" x14ac:dyDescent="0.25">
      <c r="D128">
        <f t="shared" si="6"/>
        <v>0</v>
      </c>
      <c r="E128">
        <f t="shared" si="7"/>
        <v>0</v>
      </c>
      <c r="F128">
        <f t="shared" si="8"/>
        <v>0</v>
      </c>
    </row>
    <row r="129" spans="3:6" x14ac:dyDescent="0.25">
      <c r="D129">
        <f t="shared" si="6"/>
        <v>0</v>
      </c>
      <c r="E129">
        <f t="shared" si="7"/>
        <v>0</v>
      </c>
      <c r="F129">
        <f t="shared" si="8"/>
        <v>0</v>
      </c>
    </row>
    <row r="130" spans="3:6" x14ac:dyDescent="0.25">
      <c r="D130">
        <f t="shared" si="6"/>
        <v>0</v>
      </c>
      <c r="E130">
        <f t="shared" si="7"/>
        <v>0</v>
      </c>
      <c r="F130">
        <f t="shared" si="8"/>
        <v>0</v>
      </c>
    </row>
    <row r="131" spans="3:6" x14ac:dyDescent="0.25">
      <c r="D131">
        <f t="shared" si="6"/>
        <v>0</v>
      </c>
      <c r="E131">
        <f t="shared" si="7"/>
        <v>0</v>
      </c>
      <c r="F131">
        <f t="shared" si="8"/>
        <v>0</v>
      </c>
    </row>
    <row r="132" spans="3:6" x14ac:dyDescent="0.25">
      <c r="D132">
        <f t="shared" si="6"/>
        <v>0</v>
      </c>
      <c r="E132">
        <f t="shared" si="7"/>
        <v>0</v>
      </c>
      <c r="F132">
        <f t="shared" si="8"/>
        <v>0</v>
      </c>
    </row>
    <row r="133" spans="3:6" x14ac:dyDescent="0.25">
      <c r="D133">
        <f t="shared" si="6"/>
        <v>0</v>
      </c>
      <c r="E133">
        <f t="shared" si="7"/>
        <v>0</v>
      </c>
      <c r="F133">
        <f t="shared" si="8"/>
        <v>0</v>
      </c>
    </row>
    <row r="134" spans="3:6" x14ac:dyDescent="0.25">
      <c r="C134" s="2" t="s">
        <v>73</v>
      </c>
      <c r="D134">
        <f>SUM(D109:D133)</f>
        <v>145</v>
      </c>
      <c r="E134">
        <f>SUM(E109:E133)</f>
        <v>1.5</v>
      </c>
      <c r="F134">
        <f>SUM(F109:F133)</f>
        <v>0.75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AA134"/>
  <sheetViews>
    <sheetView topLeftCell="A52" zoomScaleNormal="100" workbookViewId="0">
      <selection activeCell="M73" sqref="M73"/>
    </sheetView>
  </sheetViews>
  <sheetFormatPr defaultRowHeight="15" x14ac:dyDescent="0.25"/>
  <cols>
    <col min="3" max="3" width="19.5703125" customWidth="1"/>
  </cols>
  <sheetData>
    <row r="3" spans="2:27" x14ac:dyDescent="0.25">
      <c r="B3" t="s">
        <v>186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R3" t="s">
        <v>4</v>
      </c>
      <c r="U3" t="s">
        <v>5</v>
      </c>
      <c r="X3" t="s">
        <v>134</v>
      </c>
      <c r="Z3" t="s">
        <v>157</v>
      </c>
    </row>
    <row r="4" spans="2:27" x14ac:dyDescent="0.25">
      <c r="B4" t="s">
        <v>6</v>
      </c>
      <c r="C4">
        <v>18</v>
      </c>
      <c r="E4" t="s">
        <v>124</v>
      </c>
      <c r="F4">
        <v>17.000000000000004</v>
      </c>
      <c r="H4" t="s">
        <v>7</v>
      </c>
      <c r="I4">
        <v>592.79999999999995</v>
      </c>
      <c r="J4">
        <v>85</v>
      </c>
      <c r="L4" t="s">
        <v>7</v>
      </c>
      <c r="M4">
        <f>I4+J4*$F$4</f>
        <v>2037.8000000000002</v>
      </c>
      <c r="O4" t="s">
        <v>9</v>
      </c>
      <c r="P4">
        <f>J79+M8</f>
        <v>214.29500000000002</v>
      </c>
      <c r="Q4">
        <v>1</v>
      </c>
      <c r="R4" t="s">
        <v>10</v>
      </c>
      <c r="S4">
        <f>Q4*(4+10/18*C4)</f>
        <v>14</v>
      </c>
      <c r="U4" t="s">
        <v>10</v>
      </c>
      <c r="V4">
        <v>0</v>
      </c>
      <c r="X4">
        <v>1000</v>
      </c>
      <c r="Z4" t="s">
        <v>19</v>
      </c>
      <c r="AA4">
        <f>I9</f>
        <v>0.63800000000000001</v>
      </c>
    </row>
    <row r="5" spans="2:27" x14ac:dyDescent="0.25">
      <c r="H5" t="s">
        <v>120</v>
      </c>
      <c r="I5">
        <v>8.3699999999999992</v>
      </c>
      <c r="J5">
        <v>0.55000000000000004</v>
      </c>
      <c r="L5" t="s">
        <v>120</v>
      </c>
      <c r="M5">
        <f t="shared" ref="M5:M12" si="0">I5+J5*$F$4</f>
        <v>17.720000000000002</v>
      </c>
      <c r="O5" t="s">
        <v>12</v>
      </c>
      <c r="P5">
        <f>M9+I9*K79</f>
        <v>1.9816000000000003</v>
      </c>
      <c r="R5" t="s">
        <v>13</v>
      </c>
      <c r="S5">
        <v>0</v>
      </c>
      <c r="U5" t="s">
        <v>13</v>
      </c>
      <c r="V5">
        <v>0</v>
      </c>
      <c r="Z5" t="s">
        <v>168</v>
      </c>
      <c r="AA5">
        <f>F4*J9</f>
        <v>0.57800000000000018</v>
      </c>
    </row>
    <row r="6" spans="2:27" x14ac:dyDescent="0.25">
      <c r="H6" t="s">
        <v>121</v>
      </c>
      <c r="I6">
        <v>288.8</v>
      </c>
      <c r="J6">
        <v>35</v>
      </c>
      <c r="L6" t="s">
        <v>121</v>
      </c>
      <c r="M6">
        <f t="shared" si="0"/>
        <v>883.80000000000018</v>
      </c>
      <c r="R6" t="s">
        <v>16</v>
      </c>
      <c r="S6">
        <f>J79</f>
        <v>95</v>
      </c>
      <c r="U6" t="s">
        <v>16</v>
      </c>
      <c r="V6">
        <f>30*B32</f>
        <v>30</v>
      </c>
      <c r="Z6" t="s">
        <v>10</v>
      </c>
      <c r="AA6">
        <v>0</v>
      </c>
    </row>
    <row r="7" spans="2:27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I7">
        <v>7.5750000000000002</v>
      </c>
      <c r="J7">
        <v>0.7</v>
      </c>
      <c r="L7" t="s">
        <v>122</v>
      </c>
      <c r="M7">
        <f t="shared" si="0"/>
        <v>19.475000000000001</v>
      </c>
      <c r="O7" t="s">
        <v>7</v>
      </c>
      <c r="P7">
        <f>M4+L20</f>
        <v>3237.8</v>
      </c>
      <c r="R7" s="2"/>
      <c r="Z7" t="s">
        <v>158</v>
      </c>
      <c r="AA7">
        <v>0.28000000000000003</v>
      </c>
    </row>
    <row r="8" spans="2:27" x14ac:dyDescent="0.25">
      <c r="B8" t="s">
        <v>25</v>
      </c>
      <c r="C8">
        <v>5</v>
      </c>
      <c r="D8">
        <f>30+40*C8</f>
        <v>230</v>
      </c>
      <c r="E8">
        <f>0.6*V10+S8</f>
        <v>127</v>
      </c>
      <c r="F8">
        <f>E8+D8</f>
        <v>357</v>
      </c>
      <c r="H8" t="s">
        <v>8</v>
      </c>
      <c r="I8">
        <v>61.92</v>
      </c>
      <c r="J8">
        <v>3.375</v>
      </c>
      <c r="L8" t="s">
        <v>8</v>
      </c>
      <c r="M8">
        <f t="shared" si="0"/>
        <v>119.29500000000002</v>
      </c>
      <c r="O8" t="s">
        <v>120</v>
      </c>
      <c r="P8">
        <f>(M5+M5*M20+N20+V17*0.01)*(1+0.2*B28)</f>
        <v>82.979208000000014</v>
      </c>
      <c r="R8" t="s">
        <v>26</v>
      </c>
      <c r="S8">
        <f>SUM(S4:S7)</f>
        <v>109</v>
      </c>
      <c r="U8" t="s">
        <v>26</v>
      </c>
      <c r="V8">
        <f>SUM(V4:V7)</f>
        <v>30</v>
      </c>
      <c r="Z8" t="s">
        <v>159</v>
      </c>
      <c r="AA8">
        <f>K79</f>
        <v>1.2</v>
      </c>
    </row>
    <row r="9" spans="2:27" x14ac:dyDescent="0.25">
      <c r="H9" t="s">
        <v>14</v>
      </c>
      <c r="I9">
        <v>0.63800000000000001</v>
      </c>
      <c r="J9">
        <v>3.4000000000000002E-2</v>
      </c>
      <c r="L9" t="s">
        <v>14</v>
      </c>
      <c r="M9">
        <f t="shared" si="0"/>
        <v>1.2160000000000002</v>
      </c>
      <c r="O9" t="s">
        <v>15</v>
      </c>
      <c r="P9">
        <f>M10+J20</f>
        <v>248.04000000000002</v>
      </c>
    </row>
    <row r="10" spans="2:27" x14ac:dyDescent="0.25">
      <c r="B10" t="s">
        <v>29</v>
      </c>
      <c r="C10">
        <v>5</v>
      </c>
      <c r="D10">
        <f>5+35*C10</f>
        <v>180</v>
      </c>
      <c r="E10">
        <f>0.6*V10</f>
        <v>18</v>
      </c>
      <c r="F10">
        <f>E10+D10</f>
        <v>198</v>
      </c>
      <c r="H10" t="s">
        <v>15</v>
      </c>
      <c r="I10">
        <v>27.04</v>
      </c>
      <c r="J10">
        <v>3</v>
      </c>
      <c r="L10" t="s">
        <v>15</v>
      </c>
      <c r="M10">
        <f t="shared" si="0"/>
        <v>78.04000000000002</v>
      </c>
      <c r="O10" t="s">
        <v>23</v>
      </c>
      <c r="P10">
        <f>M11+K20</f>
        <v>133.35000000000002</v>
      </c>
      <c r="R10" t="s">
        <v>31</v>
      </c>
      <c r="S10">
        <f>S8+M8</f>
        <v>228.29500000000002</v>
      </c>
      <c r="U10" t="s">
        <v>32</v>
      </c>
      <c r="V10">
        <f>V8</f>
        <v>30</v>
      </c>
      <c r="Z10" t="s">
        <v>160</v>
      </c>
      <c r="AA10">
        <f>(1+SUM(AA5:AA8))*AA4</f>
        <v>1.9510040000000002</v>
      </c>
    </row>
    <row r="11" spans="2:27" x14ac:dyDescent="0.25">
      <c r="H11" t="s">
        <v>23</v>
      </c>
      <c r="I11">
        <v>32.1</v>
      </c>
      <c r="J11">
        <v>1.25</v>
      </c>
      <c r="L11" t="s">
        <v>23</v>
      </c>
      <c r="M11">
        <f t="shared" si="0"/>
        <v>53.350000000000009</v>
      </c>
      <c r="Z11" t="s">
        <v>20</v>
      </c>
      <c r="AA11">
        <f>0.12+0.12*CEILING(C4/3,1)</f>
        <v>0.84</v>
      </c>
    </row>
    <row r="12" spans="2:27" x14ac:dyDescent="0.25">
      <c r="B12" t="s">
        <v>33</v>
      </c>
      <c r="C12">
        <v>5</v>
      </c>
      <c r="D12">
        <f>25+25*C12</f>
        <v>150</v>
      </c>
      <c r="E12">
        <f>0.5*S8</f>
        <v>54.5</v>
      </c>
      <c r="F12">
        <f>E12+D12</f>
        <v>204.5</v>
      </c>
      <c r="H12" t="s">
        <v>123</v>
      </c>
      <c r="I12">
        <v>350</v>
      </c>
      <c r="L12" t="s">
        <v>123</v>
      </c>
      <c r="M12">
        <f t="shared" si="0"/>
        <v>350</v>
      </c>
      <c r="O12" t="s">
        <v>91</v>
      </c>
      <c r="R12" t="s">
        <v>86</v>
      </c>
      <c r="U12" t="s">
        <v>88</v>
      </c>
      <c r="X12" t="s">
        <v>95</v>
      </c>
      <c r="Z12" t="s">
        <v>167</v>
      </c>
      <c r="AA12">
        <f>AA10+AA11*I9</f>
        <v>2.4869240000000001</v>
      </c>
    </row>
    <row r="13" spans="2:27" x14ac:dyDescent="0.25">
      <c r="D13">
        <f>2*D12</f>
        <v>300</v>
      </c>
      <c r="E13">
        <f>2*E12</f>
        <v>109</v>
      </c>
      <c r="F13">
        <f>2*F12</f>
        <v>409</v>
      </c>
      <c r="O13" t="s">
        <v>92</v>
      </c>
      <c r="P13">
        <v>1</v>
      </c>
      <c r="R13" t="s">
        <v>2</v>
      </c>
      <c r="S13">
        <f>M10</f>
        <v>78.04000000000002</v>
      </c>
      <c r="U13" t="s">
        <v>2</v>
      </c>
      <c r="V13">
        <f>M4</f>
        <v>2037.8000000000002</v>
      </c>
      <c r="X13" t="s">
        <v>2</v>
      </c>
      <c r="Y13">
        <f>M11</f>
        <v>53.350000000000009</v>
      </c>
    </row>
    <row r="14" spans="2:27" x14ac:dyDescent="0.25">
      <c r="O14" t="s">
        <v>93</v>
      </c>
      <c r="P14">
        <v>1</v>
      </c>
      <c r="R14" t="s">
        <v>10</v>
      </c>
      <c r="S14">
        <v>0</v>
      </c>
      <c r="U14" t="s">
        <v>16</v>
      </c>
      <c r="V14">
        <f>L20</f>
        <v>1200</v>
      </c>
      <c r="X14" t="s">
        <v>10</v>
      </c>
      <c r="Y14">
        <v>0</v>
      </c>
    </row>
    <row r="15" spans="2:27" x14ac:dyDescent="0.25">
      <c r="O15" t="s">
        <v>94</v>
      </c>
      <c r="P15">
        <v>3</v>
      </c>
      <c r="R15" t="s">
        <v>13</v>
      </c>
      <c r="S15">
        <v>9</v>
      </c>
      <c r="U15" t="s">
        <v>10</v>
      </c>
      <c r="V15">
        <f>36+0.03*(V13+V14)*P14</f>
        <v>133.13400000000001</v>
      </c>
      <c r="X15" t="s">
        <v>13</v>
      </c>
      <c r="Y15">
        <v>0</v>
      </c>
    </row>
    <row r="16" spans="2:27" x14ac:dyDescent="0.25">
      <c r="B16" t="s">
        <v>34</v>
      </c>
      <c r="C16">
        <v>3</v>
      </c>
      <c r="D16">
        <f>40+60*C16</f>
        <v>220</v>
      </c>
      <c r="E16">
        <f>0.7*V10</f>
        <v>21</v>
      </c>
      <c r="F16">
        <f>E16+D16</f>
        <v>241</v>
      </c>
      <c r="R16" t="s">
        <v>16</v>
      </c>
      <c r="S16">
        <f>J20</f>
        <v>170</v>
      </c>
      <c r="X16" t="s">
        <v>16</v>
      </c>
      <c r="Y16">
        <f>K20</f>
        <v>80</v>
      </c>
    </row>
    <row r="17" spans="2:26" x14ac:dyDescent="0.25">
      <c r="R17" s="2"/>
      <c r="S17" s="2"/>
      <c r="U17" t="s">
        <v>89</v>
      </c>
      <c r="V17">
        <f>SUM(V13:V15)</f>
        <v>3370.9340000000002</v>
      </c>
    </row>
    <row r="18" spans="2:26" x14ac:dyDescent="0.25">
      <c r="J18" s="2" t="s">
        <v>40</v>
      </c>
      <c r="R18" t="s">
        <v>10</v>
      </c>
      <c r="S18">
        <f>P13*0.025*SUM(S14:S17)</f>
        <v>4.4750000000000005</v>
      </c>
      <c r="X18" t="s">
        <v>10</v>
      </c>
      <c r="Y18">
        <f>P13*0.025*SUM(Y14:Y17)</f>
        <v>2</v>
      </c>
    </row>
    <row r="19" spans="2:26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</row>
    <row r="20" spans="2:26" x14ac:dyDescent="0.25">
      <c r="C20" t="s">
        <v>74</v>
      </c>
      <c r="F20">
        <v>1000</v>
      </c>
      <c r="J20">
        <f>D75</f>
        <v>170</v>
      </c>
      <c r="K20">
        <f>E75</f>
        <v>80</v>
      </c>
      <c r="L20">
        <f>F75*(1+0.25*B34)</f>
        <v>1200</v>
      </c>
      <c r="M20">
        <f>G75</f>
        <v>1</v>
      </c>
      <c r="N20">
        <f>H75</f>
        <v>0</v>
      </c>
      <c r="R20" t="s">
        <v>90</v>
      </c>
      <c r="S20">
        <f>SUM(S13:S18)</f>
        <v>261.51500000000004</v>
      </c>
      <c r="X20" t="s">
        <v>96</v>
      </c>
      <c r="Y20">
        <f>SUM(Y13:Y18)</f>
        <v>135.35000000000002</v>
      </c>
    </row>
    <row r="21" spans="2:26" x14ac:dyDescent="0.25">
      <c r="C21" t="s">
        <v>117</v>
      </c>
      <c r="F21">
        <v>800</v>
      </c>
      <c r="H21">
        <f>V17*0.03</f>
        <v>101.12802000000001</v>
      </c>
    </row>
    <row r="22" spans="2:26" x14ac:dyDescent="0.25">
      <c r="C22" t="s">
        <v>75</v>
      </c>
      <c r="F22">
        <v>700</v>
      </c>
      <c r="J22" s="2" t="s">
        <v>42</v>
      </c>
      <c r="L22" s="2" t="s">
        <v>130</v>
      </c>
      <c r="R22" t="s">
        <v>98</v>
      </c>
      <c r="S22" t="s">
        <v>99</v>
      </c>
      <c r="U22" t="s">
        <v>100</v>
      </c>
      <c r="V22" t="s">
        <v>101</v>
      </c>
      <c r="W22">
        <v>4.1900000000000004</v>
      </c>
      <c r="Y22" t="s">
        <v>118</v>
      </c>
    </row>
    <row r="23" spans="2:26" x14ac:dyDescent="0.25">
      <c r="C23" t="s">
        <v>80</v>
      </c>
      <c r="F23">
        <v>650</v>
      </c>
      <c r="J23" t="s">
        <v>25</v>
      </c>
      <c r="N23">
        <f>F8*3</f>
        <v>1071</v>
      </c>
      <c r="P23" s="2" t="s">
        <v>97</v>
      </c>
      <c r="R23">
        <v>0</v>
      </c>
      <c r="S23">
        <v>0.06</v>
      </c>
      <c r="U23">
        <f>$S$20*(1-S23)-R23</f>
        <v>245.82410000000002</v>
      </c>
      <c r="V23">
        <f>$V$17*(100+U23)/100</f>
        <v>11657.502167094002</v>
      </c>
      <c r="W23">
        <v>20715.592674699998</v>
      </c>
      <c r="Y23">
        <f>($V$17+$B$29*(50+10*$C$4))*(100+U23)/100</f>
        <v>11657.502167094002</v>
      </c>
      <c r="Z23">
        <f>Y23/W23</f>
        <v>0.5627404607801223</v>
      </c>
    </row>
    <row r="24" spans="2:26" x14ac:dyDescent="0.25">
      <c r="B24">
        <v>1</v>
      </c>
      <c r="C24" t="s">
        <v>76</v>
      </c>
      <c r="D24">
        <v>70</v>
      </c>
      <c r="F24">
        <v>500</v>
      </c>
      <c r="J24" t="s">
        <v>29</v>
      </c>
      <c r="R24">
        <v>0</v>
      </c>
      <c r="S24">
        <v>0.38900000000000001</v>
      </c>
      <c r="U24">
        <f>$S$20*(1-S24)-R24</f>
        <v>159.78566500000002</v>
      </c>
      <c r="V24">
        <f>$V$17*(100+U24)/100</f>
        <v>8757.2033086111005</v>
      </c>
      <c r="Y24">
        <f>($V$17+$B$29*(50+10*$C$4))*(100+U24)/100</f>
        <v>8757.2033086111005</v>
      </c>
    </row>
    <row r="25" spans="2:26" x14ac:dyDescent="0.25">
      <c r="C25" t="s">
        <v>83</v>
      </c>
      <c r="F25">
        <v>500</v>
      </c>
      <c r="G25">
        <v>1</v>
      </c>
      <c r="J25" t="s">
        <v>33</v>
      </c>
      <c r="N25">
        <f>F12</f>
        <v>204.5</v>
      </c>
      <c r="R25">
        <v>20</v>
      </c>
      <c r="S25">
        <v>0.06</v>
      </c>
      <c r="U25">
        <f>$S$20*(1-S25)-R25</f>
        <v>225.82410000000002</v>
      </c>
      <c r="V25">
        <f>$V$17*(100+U25)/100</f>
        <v>10983.315367094001</v>
      </c>
      <c r="Y25">
        <f>($V$17+$B$29*(50+10*$C$4))*(100+U25)/100</f>
        <v>10983.315367094001</v>
      </c>
    </row>
    <row r="26" spans="2:26" x14ac:dyDescent="0.25">
      <c r="C26" t="s">
        <v>77</v>
      </c>
      <c r="D26">
        <v>45</v>
      </c>
      <c r="F26">
        <v>450</v>
      </c>
      <c r="J26" t="s">
        <v>134</v>
      </c>
      <c r="N26">
        <f>X4</f>
        <v>1000</v>
      </c>
      <c r="R26">
        <v>20</v>
      </c>
      <c r="S26">
        <v>0.38900000000000001</v>
      </c>
      <c r="U26">
        <f>$S$20*(1-S26)-R26</f>
        <v>139.78566500000002</v>
      </c>
      <c r="V26">
        <f>$V$17*(100+U26)/100</f>
        <v>8083.016508611101</v>
      </c>
      <c r="Y26">
        <f>($V$17+$B$29*(50+10*$C$4))*(100+U26)/100</f>
        <v>8083.016508611101</v>
      </c>
    </row>
    <row r="27" spans="2:26" x14ac:dyDescent="0.25">
      <c r="C27" t="s">
        <v>78</v>
      </c>
      <c r="E27">
        <v>55</v>
      </c>
      <c r="F27">
        <v>450</v>
      </c>
      <c r="G27">
        <v>1</v>
      </c>
      <c r="R27">
        <v>10</v>
      </c>
      <c r="S27">
        <f>1-(1*0.94*0.65*0.75)</f>
        <v>0.54174999999999995</v>
      </c>
      <c r="U27">
        <f>$S$20*(1-S27)-R27</f>
        <v>109.83924875000004</v>
      </c>
      <c r="V27">
        <f>$V$17*(100+U27)/100</f>
        <v>7073.5425814583259</v>
      </c>
      <c r="W27">
        <v>12376.585678916252</v>
      </c>
      <c r="Y27">
        <f>($V$17+$B$29*(50+10*$C$4))*(100+U27)/100</f>
        <v>7073.5425814583259</v>
      </c>
      <c r="Z27">
        <f>Y27/W27</f>
        <v>0.57152616763347264</v>
      </c>
    </row>
    <row r="28" spans="2:26" x14ac:dyDescent="0.25">
      <c r="B28">
        <v>1</v>
      </c>
      <c r="C28" t="s">
        <v>79</v>
      </c>
      <c r="E28">
        <v>55</v>
      </c>
      <c r="F28">
        <v>450</v>
      </c>
      <c r="G28">
        <v>1</v>
      </c>
    </row>
    <row r="29" spans="2:26" x14ac:dyDescent="0.25">
      <c r="C29" t="s">
        <v>81</v>
      </c>
      <c r="E29">
        <v>40</v>
      </c>
      <c r="F29">
        <v>400</v>
      </c>
      <c r="G29">
        <v>0.75</v>
      </c>
    </row>
    <row r="30" spans="2:26" x14ac:dyDescent="0.25">
      <c r="C30" t="s">
        <v>82</v>
      </c>
      <c r="F30">
        <v>400</v>
      </c>
      <c r="J30" t="s">
        <v>129</v>
      </c>
      <c r="N30">
        <f>SUM(N23:N25)</f>
        <v>1275.5</v>
      </c>
    </row>
    <row r="31" spans="2:26" x14ac:dyDescent="0.25">
      <c r="C31" t="s">
        <v>84</v>
      </c>
      <c r="F31">
        <v>380</v>
      </c>
      <c r="J31" t="s">
        <v>135</v>
      </c>
      <c r="L31" s="2" t="s">
        <v>137</v>
      </c>
      <c r="N31">
        <f>N30+N26</f>
        <v>2275.5</v>
      </c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</row>
    <row r="32" spans="2:26" x14ac:dyDescent="0.25">
      <c r="B32">
        <v>1</v>
      </c>
      <c r="C32" t="s">
        <v>59</v>
      </c>
      <c r="F32">
        <v>250</v>
      </c>
      <c r="L32">
        <f>L23-N31</f>
        <v>-2275.5</v>
      </c>
      <c r="R32">
        <v>0</v>
      </c>
      <c r="S32">
        <v>0.06</v>
      </c>
      <c r="U32">
        <f t="shared" ref="U32:U37" si="1">$Y$20*(1-S32)-R32</f>
        <v>127.22900000000001</v>
      </c>
      <c r="V32">
        <f t="shared" ref="V32:V37" si="2">$V$17*(100+U32)/100</f>
        <v>7659.7396188600014</v>
      </c>
      <c r="W32">
        <v>11332.5147474</v>
      </c>
      <c r="Y32">
        <f t="shared" ref="Y32:Y37" si="3">($V$17+$B$29*(50+10*$C$4))*(100+U32)/100</f>
        <v>7659.7396188600014</v>
      </c>
      <c r="Z32">
        <f>Y32/W32</f>
        <v>0.67590819774731481</v>
      </c>
    </row>
    <row r="33" spans="2:26" x14ac:dyDescent="0.25">
      <c r="C33" t="s">
        <v>107</v>
      </c>
      <c r="F33">
        <v>150</v>
      </c>
      <c r="J33" t="s">
        <v>131</v>
      </c>
      <c r="R33">
        <v>0</v>
      </c>
      <c r="S33">
        <v>0.38900000000000001</v>
      </c>
      <c r="U33">
        <f t="shared" si="1"/>
        <v>82.698850000000007</v>
      </c>
      <c r="V33">
        <f t="shared" si="2"/>
        <v>6158.6576522590003</v>
      </c>
      <c r="Y33">
        <f t="shared" si="3"/>
        <v>6158.6576522590003</v>
      </c>
    </row>
    <row r="34" spans="2:26" x14ac:dyDescent="0.25">
      <c r="C34" t="s">
        <v>85</v>
      </c>
      <c r="F34">
        <v>300</v>
      </c>
      <c r="J34" t="s">
        <v>132</v>
      </c>
      <c r="M34">
        <f>22.5</f>
        <v>22.5</v>
      </c>
      <c r="R34">
        <v>15</v>
      </c>
      <c r="S34">
        <v>0.06</v>
      </c>
      <c r="U34">
        <f t="shared" si="1"/>
        <v>112.22900000000001</v>
      </c>
      <c r="V34">
        <f t="shared" si="2"/>
        <v>7154.0995188600009</v>
      </c>
      <c r="Y34">
        <f t="shared" si="3"/>
        <v>7154.0995188600009</v>
      </c>
    </row>
    <row r="35" spans="2:26" x14ac:dyDescent="0.25">
      <c r="C35" t="s">
        <v>115</v>
      </c>
      <c r="F35">
        <v>80</v>
      </c>
      <c r="H35">
        <v>6</v>
      </c>
      <c r="J35" t="s">
        <v>169</v>
      </c>
      <c r="N35">
        <f>AA10*S10</f>
        <v>445.40445818000006</v>
      </c>
      <c r="R35">
        <v>15</v>
      </c>
      <c r="S35">
        <v>0.38900000000000001</v>
      </c>
      <c r="U35">
        <f t="shared" si="1"/>
        <v>67.698850000000007</v>
      </c>
      <c r="V35">
        <f t="shared" si="2"/>
        <v>5653.0175522589998</v>
      </c>
      <c r="Y35">
        <f t="shared" si="3"/>
        <v>5653.0175522589998</v>
      </c>
    </row>
    <row r="36" spans="2:26" x14ac:dyDescent="0.25">
      <c r="B36">
        <v>1</v>
      </c>
      <c r="C36" t="s">
        <v>106</v>
      </c>
      <c r="D36">
        <v>100</v>
      </c>
      <c r="J36" t="s">
        <v>170</v>
      </c>
      <c r="N36" t="e">
        <f>#REF!*S10</f>
        <v>#REF!</v>
      </c>
      <c r="R36">
        <v>30</v>
      </c>
      <c r="S36">
        <v>0.06</v>
      </c>
      <c r="U36">
        <f t="shared" si="1"/>
        <v>97.229000000000013</v>
      </c>
      <c r="V36">
        <f t="shared" si="2"/>
        <v>6648.4594188600013</v>
      </c>
      <c r="Y36">
        <f t="shared" si="3"/>
        <v>6648.4594188600013</v>
      </c>
    </row>
    <row r="37" spans="2:26" x14ac:dyDescent="0.25">
      <c r="C37" t="s">
        <v>105</v>
      </c>
      <c r="D37">
        <v>100</v>
      </c>
      <c r="J37" t="s">
        <v>172</v>
      </c>
      <c r="N37">
        <f>N35+M34</f>
        <v>467.90445818000006</v>
      </c>
      <c r="R37">
        <v>30</v>
      </c>
      <c r="S37">
        <v>0.38900000000000001</v>
      </c>
      <c r="U37">
        <f t="shared" si="1"/>
        <v>52.698850000000007</v>
      </c>
      <c r="V37">
        <f t="shared" si="2"/>
        <v>5147.3774522590002</v>
      </c>
      <c r="W37">
        <v>7642.2235858100003</v>
      </c>
      <c r="Y37">
        <f t="shared" si="3"/>
        <v>5147.3774522590002</v>
      </c>
      <c r="Z37">
        <f>Y37/W37</f>
        <v>0.67354447229424119</v>
      </c>
    </row>
    <row r="38" spans="2:26" x14ac:dyDescent="0.25">
      <c r="C38" t="s">
        <v>113</v>
      </c>
      <c r="D38">
        <v>50</v>
      </c>
      <c r="J38" t="s">
        <v>171</v>
      </c>
      <c r="N38" t="e">
        <f>N36+M34</f>
        <v>#REF!</v>
      </c>
    </row>
    <row r="39" spans="2:26" x14ac:dyDescent="0.25">
      <c r="C39" t="s">
        <v>108</v>
      </c>
      <c r="D39">
        <v>40</v>
      </c>
    </row>
    <row r="40" spans="2:26" x14ac:dyDescent="0.25">
      <c r="C40" t="s">
        <v>109</v>
      </c>
      <c r="D40">
        <v>25</v>
      </c>
    </row>
    <row r="41" spans="2:26" x14ac:dyDescent="0.25">
      <c r="C41" t="s">
        <v>114</v>
      </c>
      <c r="D41">
        <v>15</v>
      </c>
      <c r="J41" t="s">
        <v>136</v>
      </c>
      <c r="N41">
        <f>L32/N35</f>
        <v>-5.1088397482550763</v>
      </c>
    </row>
    <row r="42" spans="2:26" x14ac:dyDescent="0.25">
      <c r="C42" t="s">
        <v>116</v>
      </c>
      <c r="E42">
        <v>50</v>
      </c>
      <c r="T42" t="s">
        <v>191</v>
      </c>
      <c r="U42" t="s">
        <v>192</v>
      </c>
    </row>
    <row r="43" spans="2:26" x14ac:dyDescent="0.25">
      <c r="C43" t="s">
        <v>127</v>
      </c>
      <c r="E43">
        <f>3/18*3*C4</f>
        <v>9</v>
      </c>
    </row>
    <row r="44" spans="2:26" x14ac:dyDescent="0.25">
      <c r="C44" t="s">
        <v>119</v>
      </c>
      <c r="D44">
        <v>2</v>
      </c>
      <c r="E44">
        <v>0.9</v>
      </c>
      <c r="F44">
        <v>129</v>
      </c>
      <c r="K44" t="s">
        <v>220</v>
      </c>
      <c r="L44">
        <v>2000</v>
      </c>
      <c r="P44" t="s">
        <v>226</v>
      </c>
      <c r="Q44">
        <v>10</v>
      </c>
      <c r="T44" t="s">
        <v>194</v>
      </c>
      <c r="V44" t="s">
        <v>195</v>
      </c>
      <c r="W44" t="s">
        <v>148</v>
      </c>
    </row>
    <row r="45" spans="2:26" x14ac:dyDescent="0.25">
      <c r="B45">
        <v>1</v>
      </c>
      <c r="C45" t="s">
        <v>110</v>
      </c>
      <c r="E45">
        <v>25</v>
      </c>
      <c r="K45" t="s">
        <v>221</v>
      </c>
      <c r="L45">
        <v>2200</v>
      </c>
      <c r="P45" t="s">
        <v>227</v>
      </c>
      <c r="Q45">
        <f>5+1.67/18*B2*9</f>
        <v>5</v>
      </c>
      <c r="T45" t="s">
        <v>193</v>
      </c>
      <c r="V45">
        <v>329</v>
      </c>
      <c r="W45">
        <v>594</v>
      </c>
    </row>
    <row r="46" spans="2:26" x14ac:dyDescent="0.25">
      <c r="K46" t="s">
        <v>89</v>
      </c>
      <c r="L46">
        <v>4400</v>
      </c>
      <c r="P46" t="s">
        <v>228</v>
      </c>
      <c r="Q46">
        <v>20</v>
      </c>
      <c r="T46" t="s">
        <v>196</v>
      </c>
      <c r="V46">
        <v>339</v>
      </c>
      <c r="W46">
        <v>730</v>
      </c>
    </row>
    <row r="48" spans="2:26" x14ac:dyDescent="0.25">
      <c r="C48" s="2" t="s">
        <v>72</v>
      </c>
      <c r="L48" t="s">
        <v>218</v>
      </c>
      <c r="M48" t="s">
        <v>268</v>
      </c>
      <c r="N48" t="s">
        <v>269</v>
      </c>
    </row>
    <row r="49" spans="4:14" x14ac:dyDescent="0.25">
      <c r="D49">
        <f t="shared" ref="D49:H58" si="4">D20*$B20</f>
        <v>0</v>
      </c>
      <c r="E49">
        <f t="shared" si="4"/>
        <v>0</v>
      </c>
      <c r="F49">
        <f t="shared" si="4"/>
        <v>0</v>
      </c>
      <c r="G49">
        <f t="shared" si="4"/>
        <v>0</v>
      </c>
      <c r="H49">
        <f t="shared" si="4"/>
        <v>0</v>
      </c>
      <c r="K49" t="s">
        <v>25</v>
      </c>
      <c r="L49">
        <f>F8+K95</f>
        <v>357</v>
      </c>
      <c r="M49">
        <f>11-C8</f>
        <v>6</v>
      </c>
      <c r="N49">
        <f>(1-0.01*$Q$46)*M49</f>
        <v>4.8000000000000007</v>
      </c>
    </row>
    <row r="50" spans="4:14" x14ac:dyDescent="0.25">
      <c r="D50">
        <f t="shared" si="4"/>
        <v>0</v>
      </c>
      <c r="E50">
        <f t="shared" si="4"/>
        <v>0</v>
      </c>
      <c r="F50">
        <f t="shared" si="4"/>
        <v>0</v>
      </c>
      <c r="G50">
        <f t="shared" si="4"/>
        <v>0</v>
      </c>
      <c r="H50">
        <f t="shared" si="4"/>
        <v>0</v>
      </c>
    </row>
    <row r="51" spans="4:14" x14ac:dyDescent="0.25">
      <c r="D51">
        <f t="shared" si="4"/>
        <v>0</v>
      </c>
      <c r="E51">
        <f t="shared" si="4"/>
        <v>0</v>
      </c>
      <c r="F51">
        <f t="shared" si="4"/>
        <v>0</v>
      </c>
      <c r="G51">
        <f t="shared" si="4"/>
        <v>0</v>
      </c>
      <c r="H51">
        <f t="shared" si="4"/>
        <v>0</v>
      </c>
    </row>
    <row r="52" spans="4:14" x14ac:dyDescent="0.25">
      <c r="D52">
        <f t="shared" si="4"/>
        <v>0</v>
      </c>
      <c r="E52">
        <f t="shared" si="4"/>
        <v>0</v>
      </c>
      <c r="F52">
        <f t="shared" si="4"/>
        <v>0</v>
      </c>
      <c r="G52">
        <f t="shared" si="4"/>
        <v>0</v>
      </c>
      <c r="H52">
        <f t="shared" si="4"/>
        <v>0</v>
      </c>
      <c r="K52" t="s">
        <v>29</v>
      </c>
      <c r="L52">
        <f>F10</f>
        <v>198</v>
      </c>
      <c r="M52">
        <f>8-C10</f>
        <v>3</v>
      </c>
      <c r="N52">
        <f>(1-0.01*$Q$46)*M52</f>
        <v>2.4000000000000004</v>
      </c>
    </row>
    <row r="53" spans="4:14" x14ac:dyDescent="0.25">
      <c r="D53">
        <f t="shared" si="4"/>
        <v>70</v>
      </c>
      <c r="E53">
        <f t="shared" si="4"/>
        <v>0</v>
      </c>
      <c r="F53">
        <f t="shared" si="4"/>
        <v>500</v>
      </c>
      <c r="G53">
        <f t="shared" si="4"/>
        <v>0</v>
      </c>
      <c r="H53">
        <f t="shared" si="4"/>
        <v>0</v>
      </c>
    </row>
    <row r="54" spans="4:14" x14ac:dyDescent="0.25">
      <c r="D54">
        <f t="shared" si="4"/>
        <v>0</v>
      </c>
      <c r="E54">
        <f t="shared" si="4"/>
        <v>0</v>
      </c>
      <c r="F54">
        <f t="shared" si="4"/>
        <v>0</v>
      </c>
      <c r="G54">
        <f t="shared" si="4"/>
        <v>0</v>
      </c>
      <c r="H54">
        <f t="shared" si="4"/>
        <v>0</v>
      </c>
    </row>
    <row r="55" spans="4:14" x14ac:dyDescent="0.25">
      <c r="D55">
        <f t="shared" si="4"/>
        <v>0</v>
      </c>
      <c r="E55">
        <f t="shared" si="4"/>
        <v>0</v>
      </c>
      <c r="F55">
        <f t="shared" si="4"/>
        <v>0</v>
      </c>
      <c r="G55">
        <f t="shared" si="4"/>
        <v>0</v>
      </c>
      <c r="H55">
        <f t="shared" si="4"/>
        <v>0</v>
      </c>
      <c r="K55" t="s">
        <v>33</v>
      </c>
      <c r="L55">
        <f>F12</f>
        <v>204.5</v>
      </c>
      <c r="M55">
        <f>18-2*C12</f>
        <v>8</v>
      </c>
      <c r="N55">
        <f>(1-0.01*$Q$46)*M55+2</f>
        <v>8.4</v>
      </c>
    </row>
    <row r="56" spans="4:14" x14ac:dyDescent="0.25">
      <c r="D56">
        <f t="shared" si="4"/>
        <v>0</v>
      </c>
      <c r="E56">
        <f t="shared" si="4"/>
        <v>0</v>
      </c>
      <c r="F56">
        <f t="shared" si="4"/>
        <v>0</v>
      </c>
      <c r="G56">
        <f t="shared" si="4"/>
        <v>0</v>
      </c>
      <c r="H56">
        <f t="shared" si="4"/>
        <v>0</v>
      </c>
    </row>
    <row r="57" spans="4:14" x14ac:dyDescent="0.25">
      <c r="D57">
        <f t="shared" si="4"/>
        <v>0</v>
      </c>
      <c r="E57">
        <f t="shared" si="4"/>
        <v>55</v>
      </c>
      <c r="F57">
        <f t="shared" si="4"/>
        <v>450</v>
      </c>
      <c r="G57">
        <f t="shared" si="4"/>
        <v>1</v>
      </c>
      <c r="H57">
        <f t="shared" si="4"/>
        <v>0</v>
      </c>
    </row>
    <row r="58" spans="4:14" x14ac:dyDescent="0.25">
      <c r="D58">
        <f t="shared" si="4"/>
        <v>0</v>
      </c>
      <c r="E58">
        <f t="shared" si="4"/>
        <v>0</v>
      </c>
      <c r="F58">
        <f t="shared" si="4"/>
        <v>0</v>
      </c>
      <c r="G58">
        <f t="shared" si="4"/>
        <v>0</v>
      </c>
      <c r="H58">
        <f t="shared" si="4"/>
        <v>0</v>
      </c>
    </row>
    <row r="59" spans="4:14" x14ac:dyDescent="0.25">
      <c r="D59">
        <f t="shared" ref="D59:H68" si="5">D30*$B30</f>
        <v>0</v>
      </c>
      <c r="E59">
        <f t="shared" si="5"/>
        <v>0</v>
      </c>
      <c r="F59">
        <f t="shared" si="5"/>
        <v>0</v>
      </c>
      <c r="G59">
        <f t="shared" si="5"/>
        <v>0</v>
      </c>
      <c r="H59">
        <f t="shared" si="5"/>
        <v>0</v>
      </c>
    </row>
    <row r="60" spans="4:14" x14ac:dyDescent="0.25">
      <c r="D60">
        <f t="shared" si="5"/>
        <v>0</v>
      </c>
      <c r="E60">
        <f t="shared" si="5"/>
        <v>0</v>
      </c>
      <c r="F60">
        <f t="shared" si="5"/>
        <v>0</v>
      </c>
      <c r="G60">
        <f t="shared" si="5"/>
        <v>0</v>
      </c>
      <c r="H60">
        <f t="shared" si="5"/>
        <v>0</v>
      </c>
    </row>
    <row r="61" spans="4:14" x14ac:dyDescent="0.25">
      <c r="D61">
        <f t="shared" si="5"/>
        <v>0</v>
      </c>
      <c r="E61">
        <f t="shared" si="5"/>
        <v>0</v>
      </c>
      <c r="F61">
        <f t="shared" si="5"/>
        <v>250</v>
      </c>
      <c r="G61">
        <f t="shared" si="5"/>
        <v>0</v>
      </c>
      <c r="H61">
        <f t="shared" si="5"/>
        <v>0</v>
      </c>
    </row>
    <row r="62" spans="4:14" x14ac:dyDescent="0.25">
      <c r="D62">
        <f t="shared" si="5"/>
        <v>0</v>
      </c>
      <c r="E62">
        <f t="shared" si="5"/>
        <v>0</v>
      </c>
      <c r="F62">
        <f t="shared" si="5"/>
        <v>0</v>
      </c>
      <c r="G62">
        <f t="shared" si="5"/>
        <v>0</v>
      </c>
      <c r="H62">
        <f t="shared" si="5"/>
        <v>0</v>
      </c>
    </row>
    <row r="63" spans="4:14" x14ac:dyDescent="0.25">
      <c r="D63">
        <f t="shared" si="5"/>
        <v>0</v>
      </c>
      <c r="E63">
        <f t="shared" si="5"/>
        <v>0</v>
      </c>
      <c r="F63">
        <f t="shared" si="5"/>
        <v>0</v>
      </c>
      <c r="G63">
        <f t="shared" si="5"/>
        <v>0</v>
      </c>
      <c r="H63">
        <f t="shared" si="5"/>
        <v>0</v>
      </c>
    </row>
    <row r="64" spans="4:14" x14ac:dyDescent="0.25">
      <c r="D64">
        <f t="shared" si="5"/>
        <v>0</v>
      </c>
      <c r="E64">
        <f t="shared" si="5"/>
        <v>0</v>
      </c>
      <c r="F64">
        <f t="shared" si="5"/>
        <v>0</v>
      </c>
      <c r="G64">
        <f t="shared" si="5"/>
        <v>0</v>
      </c>
      <c r="H64">
        <f t="shared" si="5"/>
        <v>0</v>
      </c>
      <c r="L64" t="s">
        <v>287</v>
      </c>
      <c r="M64" t="s">
        <v>133</v>
      </c>
    </row>
    <row r="65" spans="2:17" x14ac:dyDescent="0.25">
      <c r="D65">
        <f t="shared" si="5"/>
        <v>100</v>
      </c>
      <c r="E65">
        <f t="shared" si="5"/>
        <v>0</v>
      </c>
      <c r="F65">
        <f t="shared" si="5"/>
        <v>0</v>
      </c>
      <c r="G65">
        <f t="shared" si="5"/>
        <v>0</v>
      </c>
      <c r="H65">
        <f t="shared" si="5"/>
        <v>0</v>
      </c>
      <c r="K65" t="s">
        <v>222</v>
      </c>
      <c r="L65">
        <f>L49</f>
        <v>357</v>
      </c>
      <c r="M65">
        <f>L65/(N49)</f>
        <v>74.374999999999986</v>
      </c>
    </row>
    <row r="66" spans="2:17" x14ac:dyDescent="0.25">
      <c r="D66">
        <f t="shared" si="5"/>
        <v>0</v>
      </c>
      <c r="E66">
        <f t="shared" si="5"/>
        <v>0</v>
      </c>
      <c r="F66">
        <f t="shared" si="5"/>
        <v>0</v>
      </c>
      <c r="G66">
        <f t="shared" si="5"/>
        <v>0</v>
      </c>
      <c r="H66">
        <f t="shared" si="5"/>
        <v>0</v>
      </c>
      <c r="K66" t="s">
        <v>223</v>
      </c>
      <c r="L66">
        <f>L52</f>
        <v>198</v>
      </c>
      <c r="M66">
        <f>L66/(N52)</f>
        <v>82.499999999999986</v>
      </c>
    </row>
    <row r="67" spans="2:17" x14ac:dyDescent="0.25">
      <c r="D67">
        <f t="shared" si="5"/>
        <v>0</v>
      </c>
      <c r="E67">
        <f t="shared" si="5"/>
        <v>0</v>
      </c>
      <c r="F67">
        <f t="shared" si="5"/>
        <v>0</v>
      </c>
      <c r="G67">
        <f t="shared" si="5"/>
        <v>0</v>
      </c>
      <c r="H67">
        <f t="shared" si="5"/>
        <v>0</v>
      </c>
      <c r="K67" t="s">
        <v>224</v>
      </c>
      <c r="L67">
        <f>L55</f>
        <v>204.5</v>
      </c>
      <c r="M67">
        <f>L67/(N55)</f>
        <v>24.345238095238095</v>
      </c>
    </row>
    <row r="68" spans="2:17" x14ac:dyDescent="0.25">
      <c r="D68">
        <f t="shared" si="5"/>
        <v>0</v>
      </c>
      <c r="E68">
        <f t="shared" si="5"/>
        <v>0</v>
      </c>
      <c r="F68">
        <f t="shared" si="5"/>
        <v>0</v>
      </c>
      <c r="G68">
        <f t="shared" si="5"/>
        <v>0</v>
      </c>
      <c r="H68">
        <f t="shared" si="5"/>
        <v>0</v>
      </c>
      <c r="K68" t="s">
        <v>294</v>
      </c>
    </row>
    <row r="69" spans="2:17" x14ac:dyDescent="0.25">
      <c r="D69">
        <f t="shared" ref="D69:H74" si="6">D40*$B40</f>
        <v>0</v>
      </c>
      <c r="E69">
        <f t="shared" si="6"/>
        <v>0</v>
      </c>
      <c r="F69">
        <f t="shared" si="6"/>
        <v>0</v>
      </c>
      <c r="G69">
        <f t="shared" si="6"/>
        <v>0</v>
      </c>
      <c r="H69">
        <f t="shared" si="6"/>
        <v>0</v>
      </c>
      <c r="K69" t="s">
        <v>233</v>
      </c>
      <c r="L69">
        <f>SUM(L65:L67)</f>
        <v>759.5</v>
      </c>
      <c r="M69">
        <f>SUM(M65:M67)</f>
        <v>181.22023809523807</v>
      </c>
    </row>
    <row r="70" spans="2:17" x14ac:dyDescent="0.25">
      <c r="D70">
        <f t="shared" si="6"/>
        <v>0</v>
      </c>
      <c r="E70">
        <f t="shared" si="6"/>
        <v>0</v>
      </c>
      <c r="F70">
        <f t="shared" si="6"/>
        <v>0</v>
      </c>
      <c r="G70">
        <f t="shared" si="6"/>
        <v>0</v>
      </c>
      <c r="H70">
        <f t="shared" si="6"/>
        <v>0</v>
      </c>
      <c r="K70" t="s">
        <v>239</v>
      </c>
      <c r="M70">
        <f>B37*(24+1.5*C4)+B27*(25+C4)</f>
        <v>0</v>
      </c>
    </row>
    <row r="71" spans="2:17" x14ac:dyDescent="0.25">
      <c r="D71">
        <f t="shared" si="6"/>
        <v>0</v>
      </c>
      <c r="E71">
        <f t="shared" si="6"/>
        <v>0</v>
      </c>
      <c r="F71">
        <f t="shared" si="6"/>
        <v>0</v>
      </c>
      <c r="G71">
        <f t="shared" si="6"/>
        <v>0</v>
      </c>
      <c r="H71">
        <f t="shared" si="6"/>
        <v>0</v>
      </c>
      <c r="K71" t="s">
        <v>232</v>
      </c>
      <c r="M71">
        <f>K101</f>
        <v>752.39212176700005</v>
      </c>
    </row>
    <row r="72" spans="2:17" x14ac:dyDescent="0.25">
      <c r="D72">
        <f t="shared" si="6"/>
        <v>0</v>
      </c>
      <c r="E72">
        <f t="shared" si="6"/>
        <v>0</v>
      </c>
      <c r="F72">
        <f t="shared" si="6"/>
        <v>0</v>
      </c>
      <c r="G72">
        <f t="shared" si="6"/>
        <v>0</v>
      </c>
      <c r="H72">
        <f t="shared" si="6"/>
        <v>0</v>
      </c>
      <c r="K72" t="s">
        <v>234</v>
      </c>
      <c r="M72" s="2">
        <f>M71+M69+M70</f>
        <v>933.61235986223812</v>
      </c>
      <c r="Q72" s="2"/>
    </row>
    <row r="73" spans="2:17" x14ac:dyDescent="0.25">
      <c r="D73">
        <f t="shared" si="6"/>
        <v>0</v>
      </c>
      <c r="E73">
        <f t="shared" si="6"/>
        <v>0</v>
      </c>
      <c r="F73">
        <f t="shared" si="6"/>
        <v>0</v>
      </c>
      <c r="G73">
        <f t="shared" si="6"/>
        <v>0</v>
      </c>
      <c r="H73">
        <f t="shared" si="6"/>
        <v>0</v>
      </c>
      <c r="K73" t="s">
        <v>331</v>
      </c>
      <c r="M73">
        <f>F16*(AA12+1/N52)/3</f>
        <v>233.25511688888889</v>
      </c>
    </row>
    <row r="74" spans="2:17" x14ac:dyDescent="0.25">
      <c r="D74">
        <f t="shared" si="6"/>
        <v>0</v>
      </c>
      <c r="E74">
        <f t="shared" si="6"/>
        <v>25</v>
      </c>
      <c r="F74">
        <f t="shared" si="6"/>
        <v>0</v>
      </c>
      <c r="G74">
        <f t="shared" si="6"/>
        <v>0</v>
      </c>
      <c r="H74">
        <f t="shared" si="6"/>
        <v>0</v>
      </c>
      <c r="K74" t="s">
        <v>329</v>
      </c>
      <c r="M74">
        <f>M8*2/1.5</f>
        <v>159.06000000000003</v>
      </c>
    </row>
    <row r="75" spans="2:17" x14ac:dyDescent="0.25">
      <c r="C75" s="2" t="s">
        <v>73</v>
      </c>
      <c r="D75">
        <f>SUM(D49:D74)</f>
        <v>170</v>
      </c>
      <c r="E75">
        <f>SUM(E49:E74)</f>
        <v>80</v>
      </c>
      <c r="F75">
        <f>SUM(F49:F74)</f>
        <v>1200</v>
      </c>
      <c r="G75">
        <f>SUM(G49:G74)</f>
        <v>1</v>
      </c>
      <c r="H75">
        <f>SUM(H49:H74)</f>
        <v>0</v>
      </c>
      <c r="K75" t="s">
        <v>330</v>
      </c>
      <c r="M75">
        <f>B88*160*AA12</f>
        <v>397.90784000000002</v>
      </c>
    </row>
    <row r="76" spans="2:17" x14ac:dyDescent="0.25">
      <c r="K76" t="s">
        <v>234</v>
      </c>
      <c r="M76">
        <f>M75+M74+M72+M73</f>
        <v>1723.8353167511273</v>
      </c>
    </row>
    <row r="78" spans="2:17" x14ac:dyDescent="0.25">
      <c r="I78" s="2" t="s">
        <v>40</v>
      </c>
      <c r="J78" s="2" t="s">
        <v>37</v>
      </c>
      <c r="K78" s="2" t="s">
        <v>38</v>
      </c>
      <c r="L78" s="2" t="s">
        <v>41</v>
      </c>
    </row>
    <row r="79" spans="2:17" x14ac:dyDescent="0.25">
      <c r="B79" s="2" t="s">
        <v>35</v>
      </c>
      <c r="C79" s="2" t="s">
        <v>36</v>
      </c>
      <c r="D79" s="2" t="s">
        <v>37</v>
      </c>
      <c r="E79" s="2" t="s">
        <v>38</v>
      </c>
      <c r="F79" s="2" t="s">
        <v>39</v>
      </c>
      <c r="J79">
        <f>D134</f>
        <v>95</v>
      </c>
      <c r="K79">
        <f>E134</f>
        <v>1.2</v>
      </c>
      <c r="L79">
        <f>F134</f>
        <v>0.1</v>
      </c>
    </row>
    <row r="80" spans="2:17" x14ac:dyDescent="0.25">
      <c r="C80" t="s">
        <v>43</v>
      </c>
      <c r="D80">
        <v>80</v>
      </c>
      <c r="E80">
        <v>0</v>
      </c>
      <c r="F80">
        <v>0.25</v>
      </c>
    </row>
    <row r="81" spans="2:11" x14ac:dyDescent="0.25">
      <c r="C81" t="s">
        <v>44</v>
      </c>
      <c r="D81">
        <v>0</v>
      </c>
      <c r="E81">
        <v>0.5</v>
      </c>
      <c r="F81">
        <v>0.3</v>
      </c>
      <c r="I81" t="s">
        <v>12</v>
      </c>
      <c r="K81">
        <f>AA10</f>
        <v>1.9510040000000002</v>
      </c>
    </row>
    <row r="82" spans="2:11" x14ac:dyDescent="0.25">
      <c r="C82" t="s">
        <v>45</v>
      </c>
      <c r="E82">
        <v>0.4</v>
      </c>
      <c r="F82">
        <v>0.2</v>
      </c>
    </row>
    <row r="83" spans="2:11" x14ac:dyDescent="0.25">
      <c r="C83" t="s">
        <v>46</v>
      </c>
      <c r="D83">
        <v>40</v>
      </c>
      <c r="E83">
        <v>0</v>
      </c>
      <c r="F83">
        <v>0</v>
      </c>
      <c r="I83" t="s">
        <v>48</v>
      </c>
      <c r="K83">
        <v>2.5</v>
      </c>
    </row>
    <row r="84" spans="2:11" x14ac:dyDescent="0.25">
      <c r="C84" t="s">
        <v>47</v>
      </c>
      <c r="D84">
        <v>80</v>
      </c>
      <c r="E84">
        <v>0</v>
      </c>
      <c r="F84">
        <v>0</v>
      </c>
    </row>
    <row r="85" spans="2:11" x14ac:dyDescent="0.25">
      <c r="C85" t="s">
        <v>49</v>
      </c>
      <c r="D85">
        <v>80</v>
      </c>
      <c r="I85" t="s">
        <v>51</v>
      </c>
      <c r="K85">
        <f>S10</f>
        <v>228.29500000000002</v>
      </c>
    </row>
    <row r="86" spans="2:11" x14ac:dyDescent="0.25">
      <c r="C86" t="s">
        <v>50</v>
      </c>
      <c r="D86">
        <v>7</v>
      </c>
      <c r="I86" t="s">
        <v>53</v>
      </c>
      <c r="K86">
        <f>K85*(1+1.5*L79)</f>
        <v>262.53924999999998</v>
      </c>
    </row>
    <row r="87" spans="2:11" x14ac:dyDescent="0.25">
      <c r="C87" t="s">
        <v>52</v>
      </c>
      <c r="D87">
        <v>25</v>
      </c>
      <c r="E87">
        <v>0.5</v>
      </c>
      <c r="I87" t="s">
        <v>55</v>
      </c>
      <c r="K87">
        <f>K85*IF(B80,2.5,2)</f>
        <v>456.59000000000003</v>
      </c>
    </row>
    <row r="88" spans="2:11" x14ac:dyDescent="0.25">
      <c r="B88">
        <v>1</v>
      </c>
      <c r="C88" t="s">
        <v>54</v>
      </c>
      <c r="D88">
        <v>25</v>
      </c>
      <c r="E88">
        <v>0.4</v>
      </c>
      <c r="F88">
        <v>0</v>
      </c>
    </row>
    <row r="89" spans="2:11" x14ac:dyDescent="0.25">
      <c r="C89" t="s">
        <v>56</v>
      </c>
      <c r="D89">
        <v>30</v>
      </c>
      <c r="E89">
        <v>0</v>
      </c>
      <c r="F89">
        <v>0.15</v>
      </c>
      <c r="I89" t="s">
        <v>58</v>
      </c>
      <c r="K89">
        <f>S10*K81</f>
        <v>445.40445818000006</v>
      </c>
    </row>
    <row r="90" spans="2:11" x14ac:dyDescent="0.25">
      <c r="C90" t="s">
        <v>57</v>
      </c>
      <c r="E90">
        <v>0.2</v>
      </c>
      <c r="I90" t="s">
        <v>201</v>
      </c>
      <c r="K90">
        <f>B92*40*K81</f>
        <v>78.040160000000014</v>
      </c>
    </row>
    <row r="91" spans="2:11" x14ac:dyDescent="0.25">
      <c r="B91">
        <v>1</v>
      </c>
      <c r="C91" t="s">
        <v>59</v>
      </c>
      <c r="D91">
        <v>30</v>
      </c>
      <c r="E91">
        <v>0.3</v>
      </c>
      <c r="F91">
        <v>0.1</v>
      </c>
      <c r="I91" t="s">
        <v>60</v>
      </c>
      <c r="K91">
        <f>K89*(1+1.5*L79)</f>
        <v>512.21512690700001</v>
      </c>
    </row>
    <row r="92" spans="2:11" x14ac:dyDescent="0.25">
      <c r="B92">
        <v>1</v>
      </c>
      <c r="C92" t="s">
        <v>198</v>
      </c>
      <c r="E92">
        <v>0.5</v>
      </c>
    </row>
    <row r="93" spans="2:11" x14ac:dyDescent="0.25">
      <c r="C93" t="s">
        <v>199</v>
      </c>
      <c r="D93">
        <v>45</v>
      </c>
      <c r="I93" t="s">
        <v>202</v>
      </c>
      <c r="K93">
        <f>K91+K90</f>
        <v>590.25528690700003</v>
      </c>
    </row>
    <row r="94" spans="2:11" x14ac:dyDescent="0.25">
      <c r="C94" t="s">
        <v>61</v>
      </c>
      <c r="D94">
        <v>20</v>
      </c>
    </row>
    <row r="95" spans="2:11" x14ac:dyDescent="0.25">
      <c r="C95" t="s">
        <v>62</v>
      </c>
      <c r="D95">
        <v>60</v>
      </c>
    </row>
    <row r="96" spans="2:11" x14ac:dyDescent="0.25">
      <c r="C96" t="s">
        <v>63</v>
      </c>
      <c r="D96">
        <v>25</v>
      </c>
      <c r="I96" t="s">
        <v>200</v>
      </c>
      <c r="K96">
        <f>AA12</f>
        <v>2.4869240000000001</v>
      </c>
    </row>
    <row r="97" spans="2:11" x14ac:dyDescent="0.25">
      <c r="B97">
        <v>1</v>
      </c>
      <c r="C97" t="s">
        <v>64</v>
      </c>
      <c r="D97">
        <v>40</v>
      </c>
      <c r="I97" t="s">
        <v>203</v>
      </c>
      <c r="K97">
        <f>S10*K96</f>
        <v>567.75231458000007</v>
      </c>
    </row>
    <row r="98" spans="2:11" x14ac:dyDescent="0.25">
      <c r="C98" t="s">
        <v>65</v>
      </c>
      <c r="D98">
        <v>25</v>
      </c>
      <c r="I98" t="s">
        <v>204</v>
      </c>
      <c r="K98">
        <f>K97*(1+1.5*L79)</f>
        <v>652.91516176700009</v>
      </c>
    </row>
    <row r="99" spans="2:11" x14ac:dyDescent="0.25">
      <c r="C99" t="s">
        <v>66</v>
      </c>
      <c r="D99">
        <v>25</v>
      </c>
      <c r="I99" t="s">
        <v>205</v>
      </c>
      <c r="K99">
        <f>B92*40*K96</f>
        <v>99.476960000000005</v>
      </c>
    </row>
    <row r="100" spans="2:11" x14ac:dyDescent="0.25">
      <c r="C100" t="s">
        <v>67</v>
      </c>
      <c r="D100">
        <v>40</v>
      </c>
    </row>
    <row r="101" spans="2:11" x14ac:dyDescent="0.25">
      <c r="C101" t="s">
        <v>68</v>
      </c>
      <c r="D101">
        <v>75</v>
      </c>
      <c r="I101" t="s">
        <v>206</v>
      </c>
      <c r="K101">
        <f>K99+K98</f>
        <v>752.39212176700005</v>
      </c>
    </row>
    <row r="102" spans="2:11" x14ac:dyDescent="0.25">
      <c r="C102" t="s">
        <v>69</v>
      </c>
      <c r="D102">
        <v>10</v>
      </c>
    </row>
    <row r="103" spans="2:11" x14ac:dyDescent="0.25">
      <c r="C103" t="s">
        <v>70</v>
      </c>
      <c r="D103">
        <v>25</v>
      </c>
    </row>
    <row r="104" spans="2:11" x14ac:dyDescent="0.25">
      <c r="C104" t="s">
        <v>71</v>
      </c>
      <c r="D104">
        <v>50</v>
      </c>
    </row>
    <row r="108" spans="2:11" x14ac:dyDescent="0.25">
      <c r="C108" s="2" t="s">
        <v>72</v>
      </c>
    </row>
    <row r="109" spans="2:11" x14ac:dyDescent="0.25">
      <c r="D109">
        <f t="shared" ref="D109:D119" si="7">D80*B80</f>
        <v>0</v>
      </c>
      <c r="E109">
        <f t="shared" ref="E109:E119" si="8">E80*B80</f>
        <v>0</v>
      </c>
      <c r="F109">
        <f t="shared" ref="F109:F119" si="9">F80*B80</f>
        <v>0</v>
      </c>
    </row>
    <row r="110" spans="2:11" x14ac:dyDescent="0.25">
      <c r="D110">
        <f t="shared" si="7"/>
        <v>0</v>
      </c>
      <c r="E110">
        <f t="shared" si="8"/>
        <v>0</v>
      </c>
      <c r="F110">
        <f t="shared" si="9"/>
        <v>0</v>
      </c>
    </row>
    <row r="111" spans="2:11" x14ac:dyDescent="0.25">
      <c r="D111">
        <f t="shared" si="7"/>
        <v>0</v>
      </c>
      <c r="E111">
        <f t="shared" si="8"/>
        <v>0</v>
      </c>
      <c r="F111">
        <f t="shared" si="9"/>
        <v>0</v>
      </c>
    </row>
    <row r="112" spans="2:11" x14ac:dyDescent="0.25">
      <c r="D112">
        <f t="shared" si="7"/>
        <v>0</v>
      </c>
      <c r="E112">
        <f t="shared" si="8"/>
        <v>0</v>
      </c>
      <c r="F112">
        <f t="shared" si="9"/>
        <v>0</v>
      </c>
    </row>
    <row r="113" spans="4:6" x14ac:dyDescent="0.25">
      <c r="D113">
        <f t="shared" si="7"/>
        <v>0</v>
      </c>
      <c r="E113">
        <f t="shared" si="8"/>
        <v>0</v>
      </c>
      <c r="F113">
        <f t="shared" si="9"/>
        <v>0</v>
      </c>
    </row>
    <row r="114" spans="4:6" x14ac:dyDescent="0.25">
      <c r="D114">
        <f t="shared" si="7"/>
        <v>0</v>
      </c>
      <c r="E114">
        <f t="shared" si="8"/>
        <v>0</v>
      </c>
      <c r="F114">
        <f t="shared" si="9"/>
        <v>0</v>
      </c>
    </row>
    <row r="115" spans="4:6" x14ac:dyDescent="0.25">
      <c r="D115">
        <f t="shared" si="7"/>
        <v>0</v>
      </c>
      <c r="E115">
        <f t="shared" si="8"/>
        <v>0</v>
      </c>
      <c r="F115">
        <f t="shared" si="9"/>
        <v>0</v>
      </c>
    </row>
    <row r="116" spans="4:6" x14ac:dyDescent="0.25">
      <c r="D116">
        <f t="shared" si="7"/>
        <v>0</v>
      </c>
      <c r="E116">
        <f t="shared" si="8"/>
        <v>0</v>
      </c>
      <c r="F116">
        <f t="shared" si="9"/>
        <v>0</v>
      </c>
    </row>
    <row r="117" spans="4:6" x14ac:dyDescent="0.25">
      <c r="D117">
        <f t="shared" si="7"/>
        <v>25</v>
      </c>
      <c r="E117">
        <f t="shared" si="8"/>
        <v>0.4</v>
      </c>
      <c r="F117">
        <f t="shared" si="9"/>
        <v>0</v>
      </c>
    </row>
    <row r="118" spans="4:6" x14ac:dyDescent="0.25">
      <c r="D118">
        <f t="shared" si="7"/>
        <v>0</v>
      </c>
      <c r="E118">
        <f t="shared" si="8"/>
        <v>0</v>
      </c>
      <c r="F118">
        <f t="shared" si="9"/>
        <v>0</v>
      </c>
    </row>
    <row r="119" spans="4:6" x14ac:dyDescent="0.25">
      <c r="D119">
        <f t="shared" si="7"/>
        <v>0</v>
      </c>
      <c r="E119">
        <f t="shared" si="8"/>
        <v>0</v>
      </c>
      <c r="F119">
        <f t="shared" si="9"/>
        <v>0</v>
      </c>
    </row>
    <row r="120" spans="4:6" x14ac:dyDescent="0.25">
      <c r="D120">
        <f t="shared" ref="D120:D133" si="10">D91*B91</f>
        <v>30</v>
      </c>
      <c r="E120">
        <f t="shared" ref="E120:E133" si="11">E91*B91</f>
        <v>0.3</v>
      </c>
      <c r="F120">
        <f t="shared" ref="F120:F133" si="12">F91*B91</f>
        <v>0.1</v>
      </c>
    </row>
    <row r="121" spans="4:6" x14ac:dyDescent="0.25">
      <c r="D121">
        <f t="shared" si="10"/>
        <v>0</v>
      </c>
      <c r="E121">
        <f t="shared" si="11"/>
        <v>0.5</v>
      </c>
      <c r="F121">
        <f t="shared" si="12"/>
        <v>0</v>
      </c>
    </row>
    <row r="122" spans="4:6" x14ac:dyDescent="0.25">
      <c r="D122">
        <f t="shared" si="10"/>
        <v>0</v>
      </c>
      <c r="E122">
        <f t="shared" si="11"/>
        <v>0</v>
      </c>
      <c r="F122">
        <f t="shared" si="12"/>
        <v>0</v>
      </c>
    </row>
    <row r="123" spans="4:6" x14ac:dyDescent="0.25">
      <c r="D123">
        <f t="shared" si="10"/>
        <v>0</v>
      </c>
      <c r="E123">
        <f t="shared" si="11"/>
        <v>0</v>
      </c>
      <c r="F123">
        <f t="shared" si="12"/>
        <v>0</v>
      </c>
    </row>
    <row r="124" spans="4:6" x14ac:dyDescent="0.25">
      <c r="D124">
        <f t="shared" si="10"/>
        <v>0</v>
      </c>
      <c r="E124">
        <f t="shared" si="11"/>
        <v>0</v>
      </c>
      <c r="F124">
        <f t="shared" si="12"/>
        <v>0</v>
      </c>
    </row>
    <row r="125" spans="4:6" x14ac:dyDescent="0.25">
      <c r="D125">
        <f t="shared" si="10"/>
        <v>0</v>
      </c>
      <c r="E125">
        <f t="shared" si="11"/>
        <v>0</v>
      </c>
      <c r="F125">
        <f t="shared" si="12"/>
        <v>0</v>
      </c>
    </row>
    <row r="126" spans="4:6" x14ac:dyDescent="0.25">
      <c r="D126">
        <f t="shared" si="10"/>
        <v>40</v>
      </c>
      <c r="E126">
        <f t="shared" si="11"/>
        <v>0</v>
      </c>
      <c r="F126">
        <f t="shared" si="12"/>
        <v>0</v>
      </c>
    </row>
    <row r="127" spans="4:6" x14ac:dyDescent="0.25">
      <c r="D127">
        <f t="shared" si="10"/>
        <v>0</v>
      </c>
      <c r="E127">
        <f t="shared" si="11"/>
        <v>0</v>
      </c>
      <c r="F127">
        <f t="shared" si="12"/>
        <v>0</v>
      </c>
    </row>
    <row r="128" spans="4:6" x14ac:dyDescent="0.25">
      <c r="D128">
        <f t="shared" si="10"/>
        <v>0</v>
      </c>
      <c r="E128">
        <f t="shared" si="11"/>
        <v>0</v>
      </c>
      <c r="F128">
        <f t="shared" si="12"/>
        <v>0</v>
      </c>
    </row>
    <row r="129" spans="3:6" x14ac:dyDescent="0.25">
      <c r="D129">
        <f t="shared" si="10"/>
        <v>0</v>
      </c>
      <c r="E129">
        <f t="shared" si="11"/>
        <v>0</v>
      </c>
      <c r="F129">
        <f t="shared" si="12"/>
        <v>0</v>
      </c>
    </row>
    <row r="130" spans="3:6" x14ac:dyDescent="0.25">
      <c r="D130">
        <f t="shared" si="10"/>
        <v>0</v>
      </c>
      <c r="E130">
        <f t="shared" si="11"/>
        <v>0</v>
      </c>
      <c r="F130">
        <f t="shared" si="12"/>
        <v>0</v>
      </c>
    </row>
    <row r="131" spans="3:6" x14ac:dyDescent="0.25">
      <c r="D131">
        <f t="shared" si="10"/>
        <v>0</v>
      </c>
      <c r="E131">
        <f t="shared" si="11"/>
        <v>0</v>
      </c>
      <c r="F131">
        <f t="shared" si="12"/>
        <v>0</v>
      </c>
    </row>
    <row r="132" spans="3:6" x14ac:dyDescent="0.25">
      <c r="D132">
        <f t="shared" si="10"/>
        <v>0</v>
      </c>
      <c r="E132">
        <f t="shared" si="11"/>
        <v>0</v>
      </c>
      <c r="F132">
        <f t="shared" si="12"/>
        <v>0</v>
      </c>
    </row>
    <row r="133" spans="3:6" x14ac:dyDescent="0.25">
      <c r="D133">
        <f t="shared" si="10"/>
        <v>0</v>
      </c>
      <c r="E133">
        <f t="shared" si="11"/>
        <v>0</v>
      </c>
      <c r="F133">
        <f t="shared" si="12"/>
        <v>0</v>
      </c>
    </row>
    <row r="134" spans="3:6" x14ac:dyDescent="0.25">
      <c r="C134" s="2" t="s">
        <v>73</v>
      </c>
      <c r="D134">
        <f>SUM(D109:D133)</f>
        <v>95</v>
      </c>
      <c r="E134">
        <f>SUM(E109:E133)</f>
        <v>1.2</v>
      </c>
      <c r="F134">
        <f>SUM(F109:F133)</f>
        <v>0.1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AH138"/>
  <sheetViews>
    <sheetView topLeftCell="B1" zoomScaleNormal="100" workbookViewId="0">
      <selection activeCell="S5" sqref="S5"/>
    </sheetView>
  </sheetViews>
  <sheetFormatPr defaultRowHeight="15" x14ac:dyDescent="0.25"/>
  <cols>
    <col min="3" max="3" width="19.5703125" customWidth="1"/>
  </cols>
  <sheetData>
    <row r="3" spans="2:31" x14ac:dyDescent="0.25">
      <c r="B3" t="s">
        <v>295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Q3" t="s">
        <v>236</v>
      </c>
      <c r="R3" t="s">
        <v>4</v>
      </c>
      <c r="U3" t="s">
        <v>5</v>
      </c>
      <c r="X3" t="s">
        <v>134</v>
      </c>
      <c r="Z3" t="s">
        <v>157</v>
      </c>
      <c r="AC3" t="s">
        <v>28</v>
      </c>
    </row>
    <row r="4" spans="2:31" x14ac:dyDescent="0.25">
      <c r="B4" t="s">
        <v>6</v>
      </c>
      <c r="C4">
        <v>3</v>
      </c>
      <c r="E4" t="s">
        <v>124</v>
      </c>
      <c r="F4">
        <v>1.4750000000000001</v>
      </c>
      <c r="H4" t="s">
        <v>7</v>
      </c>
      <c r="I4">
        <v>616.28</v>
      </c>
      <c r="J4">
        <v>96</v>
      </c>
      <c r="L4" t="s">
        <v>7</v>
      </c>
      <c r="M4">
        <f>I4+J4*$F$4</f>
        <v>757.88</v>
      </c>
      <c r="O4" t="s">
        <v>9</v>
      </c>
      <c r="P4">
        <f>L88+M8</f>
        <v>63.042500000000004</v>
      </c>
      <c r="Q4">
        <v>0</v>
      </c>
      <c r="R4" t="s">
        <v>10</v>
      </c>
      <c r="S4">
        <f>Q4*(4+10/18*C4)</f>
        <v>0</v>
      </c>
      <c r="U4" t="s">
        <v>10</v>
      </c>
      <c r="V4">
        <v>0</v>
      </c>
      <c r="X4">
        <v>430</v>
      </c>
      <c r="Z4" t="s">
        <v>19</v>
      </c>
      <c r="AA4">
        <f>I9</f>
        <v>0.625</v>
      </c>
      <c r="AC4" t="s">
        <v>158</v>
      </c>
      <c r="AE4">
        <v>11.52</v>
      </c>
    </row>
    <row r="5" spans="2:31" x14ac:dyDescent="0.25">
      <c r="H5" t="s">
        <v>120</v>
      </c>
      <c r="I5">
        <v>7.84</v>
      </c>
      <c r="J5">
        <v>0.5</v>
      </c>
      <c r="L5" t="s">
        <v>120</v>
      </c>
      <c r="M5">
        <f t="shared" ref="M5:M12" si="0">I5+J5*$F$4</f>
        <v>8.5775000000000006</v>
      </c>
      <c r="O5" t="s">
        <v>12</v>
      </c>
      <c r="P5">
        <f>M9+I9*M88</f>
        <v>0.64989062500000006</v>
      </c>
      <c r="R5" t="s">
        <v>13</v>
      </c>
      <c r="S5">
        <v>6.8</v>
      </c>
      <c r="U5" t="s">
        <v>13</v>
      </c>
      <c r="V5">
        <v>0</v>
      </c>
      <c r="Z5" t="s">
        <v>168</v>
      </c>
      <c r="AA5">
        <f>F4*J9</f>
        <v>3.9824999999999999E-2</v>
      </c>
      <c r="AC5" t="s">
        <v>91</v>
      </c>
      <c r="AE5">
        <v>0</v>
      </c>
    </row>
    <row r="6" spans="2:31" x14ac:dyDescent="0.25">
      <c r="H6" t="s">
        <v>121</v>
      </c>
      <c r="L6" t="s">
        <v>121</v>
      </c>
      <c r="M6">
        <f t="shared" si="0"/>
        <v>0</v>
      </c>
      <c r="R6" t="s">
        <v>16</v>
      </c>
      <c r="S6">
        <f>L88</f>
        <v>0</v>
      </c>
      <c r="U6" t="s">
        <v>16</v>
      </c>
      <c r="V6">
        <v>0</v>
      </c>
      <c r="Z6" t="s">
        <v>10</v>
      </c>
      <c r="AA6">
        <v>0</v>
      </c>
      <c r="AC6" t="s">
        <v>393</v>
      </c>
      <c r="AE6">
        <f>G138</f>
        <v>0</v>
      </c>
    </row>
    <row r="7" spans="2:31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L7" t="s">
        <v>122</v>
      </c>
      <c r="M7">
        <f t="shared" si="0"/>
        <v>0</v>
      </c>
      <c r="O7" t="s">
        <v>7</v>
      </c>
      <c r="P7">
        <f>M4+L20</f>
        <v>757.88</v>
      </c>
      <c r="R7" s="2"/>
      <c r="Z7" t="s">
        <v>158</v>
      </c>
      <c r="AA7">
        <v>0</v>
      </c>
      <c r="AC7" t="s">
        <v>394</v>
      </c>
      <c r="AE7">
        <v>0</v>
      </c>
    </row>
    <row r="8" spans="2:31" x14ac:dyDescent="0.25">
      <c r="B8" t="s">
        <v>25</v>
      </c>
      <c r="C8">
        <v>1</v>
      </c>
      <c r="D8">
        <f>5+25*C8</f>
        <v>30</v>
      </c>
      <c r="E8">
        <f>0.4*S10</f>
        <v>27.937000000000001</v>
      </c>
      <c r="F8">
        <f>E8+D8</f>
        <v>57.936999999999998</v>
      </c>
      <c r="H8" t="s">
        <v>8</v>
      </c>
      <c r="I8">
        <v>57.88</v>
      </c>
      <c r="J8">
        <v>3.5</v>
      </c>
      <c r="L8" t="s">
        <v>8</v>
      </c>
      <c r="M8">
        <f t="shared" si="0"/>
        <v>63.042500000000004</v>
      </c>
      <c r="O8" t="s">
        <v>120</v>
      </c>
      <c r="P8">
        <f>(M5+M5*M20+N20+V18*0.01)*(1+0.2*B29)</f>
        <v>16.743664000000003</v>
      </c>
      <c r="R8" t="s">
        <v>26</v>
      </c>
      <c r="S8">
        <f>SUM(S4:S7)</f>
        <v>6.8</v>
      </c>
      <c r="U8" t="s">
        <v>26</v>
      </c>
      <c r="V8">
        <f>SUM(V4:V7)</f>
        <v>0</v>
      </c>
      <c r="Z8" t="s">
        <v>159</v>
      </c>
      <c r="AA8">
        <f>M88</f>
        <v>0</v>
      </c>
    </row>
    <row r="9" spans="2:31" x14ac:dyDescent="0.25">
      <c r="H9" t="s">
        <v>14</v>
      </c>
      <c r="I9">
        <v>0.625</v>
      </c>
      <c r="J9">
        <v>2.7E-2</v>
      </c>
      <c r="L9" t="s">
        <v>14</v>
      </c>
      <c r="M9">
        <f>I9+I9*J9*$F$4</f>
        <v>0.64989062500000006</v>
      </c>
      <c r="O9" t="s">
        <v>15</v>
      </c>
      <c r="P9">
        <f>M10+J20</f>
        <v>31.518500000000003</v>
      </c>
    </row>
    <row r="10" spans="2:31" x14ac:dyDescent="0.25">
      <c r="H10" t="s">
        <v>15</v>
      </c>
      <c r="I10">
        <v>27.536000000000001</v>
      </c>
      <c r="J10">
        <v>2.7</v>
      </c>
      <c r="L10" t="s">
        <v>15</v>
      </c>
      <c r="M10">
        <f t="shared" si="0"/>
        <v>31.518500000000003</v>
      </c>
      <c r="O10" t="s">
        <v>23</v>
      </c>
      <c r="P10">
        <f>M11+K20</f>
        <v>33.943750000000001</v>
      </c>
      <c r="R10" t="s">
        <v>31</v>
      </c>
      <c r="S10">
        <f>S6+S4+S5+M8</f>
        <v>69.842500000000001</v>
      </c>
      <c r="U10" t="s">
        <v>32</v>
      </c>
      <c r="V10">
        <v>0</v>
      </c>
      <c r="Z10" t="s">
        <v>160</v>
      </c>
      <c r="AA10">
        <f>(1+SUM(AA5:AA8))*AA4</f>
        <v>0.64989062500000006</v>
      </c>
      <c r="AC10" t="s">
        <v>395</v>
      </c>
      <c r="AE10">
        <f>(1-AE5)*AE7</f>
        <v>0</v>
      </c>
    </row>
    <row r="11" spans="2:31" x14ac:dyDescent="0.25">
      <c r="B11" t="s">
        <v>29</v>
      </c>
      <c r="C11">
        <v>1</v>
      </c>
      <c r="H11" t="s">
        <v>23</v>
      </c>
      <c r="I11">
        <v>32.1</v>
      </c>
      <c r="J11">
        <v>1.25</v>
      </c>
      <c r="L11" t="s">
        <v>23</v>
      </c>
      <c r="M11">
        <f t="shared" si="0"/>
        <v>33.943750000000001</v>
      </c>
      <c r="O11" t="s">
        <v>91</v>
      </c>
      <c r="AC11" t="s">
        <v>396</v>
      </c>
      <c r="AE11">
        <f>AE6+AE4</f>
        <v>11.52</v>
      </c>
    </row>
    <row r="12" spans="2:31" x14ac:dyDescent="0.25">
      <c r="H12" t="s">
        <v>123</v>
      </c>
      <c r="I12">
        <v>345</v>
      </c>
      <c r="L12" t="s">
        <v>123</v>
      </c>
      <c r="M12">
        <f t="shared" si="0"/>
        <v>345</v>
      </c>
      <c r="O12" t="s">
        <v>277</v>
      </c>
      <c r="P12">
        <v>0</v>
      </c>
      <c r="R12" t="s">
        <v>86</v>
      </c>
      <c r="U12" t="s">
        <v>88</v>
      </c>
      <c r="X12" t="s">
        <v>95</v>
      </c>
    </row>
    <row r="13" spans="2:31" x14ac:dyDescent="0.25">
      <c r="O13" t="s">
        <v>92</v>
      </c>
      <c r="P13">
        <v>0</v>
      </c>
      <c r="R13" t="s">
        <v>2</v>
      </c>
      <c r="S13">
        <f>M10</f>
        <v>31.518500000000003</v>
      </c>
      <c r="U13" t="s">
        <v>2</v>
      </c>
      <c r="V13">
        <f>M4</f>
        <v>757.88</v>
      </c>
      <c r="X13" t="s">
        <v>2</v>
      </c>
      <c r="Y13">
        <f>M11</f>
        <v>33.943750000000001</v>
      </c>
    </row>
    <row r="14" spans="2:31" x14ac:dyDescent="0.25">
      <c r="B14" t="s">
        <v>33</v>
      </c>
      <c r="C14">
        <v>1</v>
      </c>
      <c r="D14">
        <f>-15+75*C14</f>
        <v>60</v>
      </c>
      <c r="E14">
        <f>(1.8+0.3*C14)*S10*(1+F138*(0.5+0.5*B88))</f>
        <v>146.66925000000001</v>
      </c>
      <c r="F14">
        <f>E14+D14</f>
        <v>206.66925000000001</v>
      </c>
      <c r="O14" t="s">
        <v>93</v>
      </c>
      <c r="P14">
        <v>1</v>
      </c>
      <c r="R14" t="s">
        <v>10</v>
      </c>
      <c r="S14">
        <f>P12+2*P15</f>
        <v>0</v>
      </c>
      <c r="U14" t="s">
        <v>16</v>
      </c>
      <c r="V14">
        <f>L20</f>
        <v>0</v>
      </c>
      <c r="X14" t="s">
        <v>10</v>
      </c>
      <c r="Y14">
        <v>0</v>
      </c>
    </row>
    <row r="15" spans="2:31" x14ac:dyDescent="0.25">
      <c r="O15" t="s">
        <v>94</v>
      </c>
      <c r="P15">
        <v>0</v>
      </c>
      <c r="R15" t="s">
        <v>13</v>
      </c>
      <c r="S15">
        <f>P16+3*P17/18*C4</f>
        <v>9</v>
      </c>
      <c r="U15" t="s">
        <v>158</v>
      </c>
      <c r="V15">
        <f>(24*P18/18*C4)</f>
        <v>0</v>
      </c>
      <c r="X15" t="s">
        <v>13</v>
      </c>
      <c r="Y15">
        <v>12</v>
      </c>
    </row>
    <row r="16" spans="2:31" x14ac:dyDescent="0.25">
      <c r="B16" t="s">
        <v>34</v>
      </c>
      <c r="C16">
        <v>1</v>
      </c>
      <c r="D16">
        <f>175*C16</f>
        <v>175</v>
      </c>
      <c r="E16">
        <f>(1/(4-0.5*C16))*E17</f>
        <v>714.28571428571422</v>
      </c>
      <c r="F16">
        <f>E16+D16</f>
        <v>889.28571428571422</v>
      </c>
      <c r="G16" t="s">
        <v>0</v>
      </c>
      <c r="N16" t="s">
        <v>158</v>
      </c>
      <c r="O16" t="s">
        <v>216</v>
      </c>
      <c r="P16">
        <v>9</v>
      </c>
      <c r="R16" t="s">
        <v>16</v>
      </c>
      <c r="S16">
        <f>J20</f>
        <v>0</v>
      </c>
      <c r="U16" t="s">
        <v>10</v>
      </c>
      <c r="V16">
        <f>36+0.03*(V13+V14+V15)*P14</f>
        <v>58.736400000000003</v>
      </c>
      <c r="X16" t="s">
        <v>16</v>
      </c>
      <c r="Y16">
        <f>K20</f>
        <v>0</v>
      </c>
    </row>
    <row r="17" spans="1:34" x14ac:dyDescent="0.25">
      <c r="D17" t="s">
        <v>296</v>
      </c>
      <c r="E17">
        <v>2500</v>
      </c>
      <c r="O17" t="s">
        <v>217</v>
      </c>
      <c r="P17">
        <v>0</v>
      </c>
      <c r="R17" s="2"/>
      <c r="S17" s="2"/>
      <c r="X17" s="2"/>
    </row>
    <row r="18" spans="1:34" x14ac:dyDescent="0.25">
      <c r="J18" s="2" t="s">
        <v>40</v>
      </c>
      <c r="O18" t="s">
        <v>357</v>
      </c>
      <c r="P18">
        <v>0</v>
      </c>
      <c r="R18" t="s">
        <v>10</v>
      </c>
      <c r="S18">
        <f>P13*0.025*SUM(S14:S17)</f>
        <v>0</v>
      </c>
      <c r="U18" t="s">
        <v>89</v>
      </c>
      <c r="V18">
        <f>SUM(V13:V16)</f>
        <v>816.6164</v>
      </c>
      <c r="X18" t="s">
        <v>10</v>
      </c>
      <c r="Y18">
        <f>P13*0.025*SUM(Y14:Y17)</f>
        <v>0</v>
      </c>
    </row>
    <row r="19" spans="1:34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  <c r="R19" s="2" t="s">
        <v>293</v>
      </c>
      <c r="S19" s="2">
        <f>(S18+S16+S15+S14)*0.2</f>
        <v>1.8</v>
      </c>
      <c r="X19" s="2" t="s">
        <v>293</v>
      </c>
      <c r="Y19" s="2">
        <f>(Y18+Y16+Y15+Y14)*0.2</f>
        <v>2.4000000000000004</v>
      </c>
    </row>
    <row r="20" spans="1:34" x14ac:dyDescent="0.25">
      <c r="C20" t="s">
        <v>74</v>
      </c>
      <c r="F20">
        <v>1000</v>
      </c>
      <c r="J20">
        <f>D83</f>
        <v>0</v>
      </c>
      <c r="K20">
        <f>E83</f>
        <v>0</v>
      </c>
      <c r="L20">
        <f>F83*(1+0.25*B37)</f>
        <v>0</v>
      </c>
      <c r="M20">
        <f>G83</f>
        <v>0</v>
      </c>
      <c r="N20">
        <f>H83</f>
        <v>0</v>
      </c>
      <c r="R20" t="s">
        <v>90</v>
      </c>
      <c r="S20">
        <f>SUM(S13:S19)</f>
        <v>42.3185</v>
      </c>
      <c r="X20" t="s">
        <v>96</v>
      </c>
      <c r="Y20">
        <f>SUM(Y13:Y19)</f>
        <v>48.34375</v>
      </c>
      <c r="AD20" t="s">
        <v>301</v>
      </c>
    </row>
    <row r="21" spans="1:34" x14ac:dyDescent="0.25">
      <c r="C21" t="s">
        <v>117</v>
      </c>
      <c r="F21">
        <v>800</v>
      </c>
      <c r="H21">
        <f>V18*0.03</f>
        <v>24.498491999999999</v>
      </c>
    </row>
    <row r="22" spans="1:34" x14ac:dyDescent="0.25">
      <c r="C22" t="s">
        <v>75</v>
      </c>
      <c r="F22">
        <v>700</v>
      </c>
      <c r="R22" t="s">
        <v>98</v>
      </c>
      <c r="S22" t="s">
        <v>99</v>
      </c>
      <c r="U22" t="s">
        <v>100</v>
      </c>
      <c r="V22" t="s">
        <v>101</v>
      </c>
      <c r="W22">
        <v>4.1900000000000004</v>
      </c>
      <c r="X22">
        <v>5.3</v>
      </c>
      <c r="Y22" t="s">
        <v>118</v>
      </c>
      <c r="AB22" t="s">
        <v>298</v>
      </c>
      <c r="AD22" t="s">
        <v>299</v>
      </c>
      <c r="AF22" t="s">
        <v>300</v>
      </c>
      <c r="AH22" t="s">
        <v>302</v>
      </c>
    </row>
    <row r="23" spans="1:34" x14ac:dyDescent="0.25">
      <c r="C23" t="s">
        <v>80</v>
      </c>
      <c r="F23">
        <v>650</v>
      </c>
      <c r="P23" s="2" t="s">
        <v>97</v>
      </c>
      <c r="R23">
        <v>0</v>
      </c>
      <c r="S23">
        <v>0.06</v>
      </c>
      <c r="U23">
        <f>$S$20*(1-S23)-R23</f>
        <v>39.779389999999999</v>
      </c>
      <c r="V23">
        <f>$V$18*(100+U23)/100</f>
        <v>1141.4614225599601</v>
      </c>
      <c r="W23">
        <v>20715.592674699998</v>
      </c>
      <c r="X23">
        <v>16960</v>
      </c>
      <c r="Y23">
        <f>($V$18+$B$30*(50+10*$C$4))*(100+U23)/100</f>
        <v>1141.4614225599601</v>
      </c>
      <c r="Z23">
        <f>Y23/W23</f>
        <v>5.5101557579572878E-2</v>
      </c>
      <c r="AB23">
        <f>Y23/0.7</f>
        <v>1630.6591750856574</v>
      </c>
      <c r="AD23">
        <f>0.7*U23-30</f>
        <v>-2.1544270000000019</v>
      </c>
      <c r="AF23">
        <f>100/70*(100+U23)-100</f>
        <v>99.684842857142883</v>
      </c>
      <c r="AH23">
        <f>AF23-U23</f>
        <v>59.905452857142883</v>
      </c>
    </row>
    <row r="24" spans="1:34" x14ac:dyDescent="0.25">
      <c r="A24">
        <v>1</v>
      </c>
      <c r="C24" t="s">
        <v>76</v>
      </c>
      <c r="D24">
        <v>70</v>
      </c>
      <c r="F24">
        <v>500</v>
      </c>
      <c r="J24" s="2"/>
      <c r="K24" s="2" t="s">
        <v>42</v>
      </c>
      <c r="R24">
        <v>0</v>
      </c>
      <c r="S24">
        <v>0.38900000000000001</v>
      </c>
      <c r="U24">
        <f>$S$20*(1-S24)-R24</f>
        <v>25.856603499999999</v>
      </c>
      <c r="V24">
        <f>$V$18*(100+U24)/100</f>
        <v>1027.7656646639741</v>
      </c>
      <c r="Y24">
        <f>($V$18+$B$30*(50+10*$C$4))*(100+U24)/100</f>
        <v>1027.7656646639741</v>
      </c>
      <c r="AB24">
        <f>Y24/0.7</f>
        <v>1468.2366638056774</v>
      </c>
      <c r="AD24">
        <f>0.7*U24-30</f>
        <v>-11.900377550000002</v>
      </c>
      <c r="AF24">
        <f>100/70*(100+U24)-100</f>
        <v>79.795147857142865</v>
      </c>
      <c r="AH24">
        <f>AF24-U24</f>
        <v>53.938544357142867</v>
      </c>
    </row>
    <row r="25" spans="1:34" x14ac:dyDescent="0.25">
      <c r="C25" t="s">
        <v>83</v>
      </c>
      <c r="F25">
        <v>500</v>
      </c>
      <c r="G25">
        <v>1</v>
      </c>
      <c r="K25" t="s">
        <v>346</v>
      </c>
      <c r="M25">
        <f>M95</f>
        <v>69.842500000000001</v>
      </c>
      <c r="R25">
        <v>20</v>
      </c>
      <c r="S25">
        <v>0.06</v>
      </c>
      <c r="U25">
        <f>$S$20*(1-S25)-R25</f>
        <v>19.779389999999999</v>
      </c>
      <c r="V25">
        <f>$V$18*(100+U25)/100</f>
        <v>978.1381425599601</v>
      </c>
      <c r="Y25">
        <f>($V$18+$B$30*(50+10*$C$4))*(100+U25)/100</f>
        <v>978.1381425599601</v>
      </c>
      <c r="AB25">
        <f>Y25/0.7</f>
        <v>1397.340203657086</v>
      </c>
      <c r="AD25">
        <f>0.7*U25-30</f>
        <v>-16.154427000000002</v>
      </c>
      <c r="AF25">
        <f>100/70*(100+U25)-100</f>
        <v>71.113414285714299</v>
      </c>
      <c r="AH25">
        <f>AF25-U25</f>
        <v>51.3340242857143</v>
      </c>
    </row>
    <row r="26" spans="1:34" x14ac:dyDescent="0.25">
      <c r="C26" t="s">
        <v>229</v>
      </c>
      <c r="F26">
        <v>500</v>
      </c>
      <c r="K26" t="s">
        <v>25</v>
      </c>
      <c r="M26">
        <f>F8</f>
        <v>57.936999999999998</v>
      </c>
      <c r="R26">
        <v>20</v>
      </c>
      <c r="S26">
        <v>0.38900000000000001</v>
      </c>
      <c r="U26">
        <f>$S$20*(1-S26)-R26</f>
        <v>5.8566034999999985</v>
      </c>
      <c r="V26">
        <f>$V$18*(100+U26)/100</f>
        <v>864.44238466397405</v>
      </c>
      <c r="Y26">
        <f>($V$18+$B$30*(50+10*$C$4))*(100+U26)/100</f>
        <v>864.44238466397405</v>
      </c>
      <c r="AB26">
        <f>Y26/0.7</f>
        <v>1234.9176923771058</v>
      </c>
      <c r="AD26">
        <f>0.7*U26-30</f>
        <v>-25.900377550000002</v>
      </c>
      <c r="AF26">
        <f>100/70*(100+U26)-100</f>
        <v>51.22371928571431</v>
      </c>
      <c r="AH26">
        <f>AF26-U26</f>
        <v>45.367115785714311</v>
      </c>
    </row>
    <row r="27" spans="1:34" x14ac:dyDescent="0.25">
      <c r="A27">
        <v>1</v>
      </c>
      <c r="C27" t="s">
        <v>77</v>
      </c>
      <c r="D27">
        <v>45</v>
      </c>
      <c r="F27">
        <v>450</v>
      </c>
      <c r="K27" t="s">
        <v>33</v>
      </c>
      <c r="M27">
        <f>F14</f>
        <v>206.66925000000001</v>
      </c>
      <c r="R27">
        <v>10</v>
      </c>
      <c r="S27">
        <f>1-(1*0.94*0.65*0.75)</f>
        <v>0.54174999999999995</v>
      </c>
      <c r="U27">
        <f>$S$20*(1-S27)-R27</f>
        <v>9.3924526250000007</v>
      </c>
      <c r="V27">
        <f>$V$18*(100+U27)/100</f>
        <v>893.31670849798058</v>
      </c>
      <c r="W27">
        <v>12376.585678916252</v>
      </c>
      <c r="Y27">
        <f>($V$18+$B$30*(50+10*$C$4))*(100+U27)/100</f>
        <v>893.31670849798058</v>
      </c>
      <c r="Z27">
        <f>Y27/W27</f>
        <v>7.2177960196224591E-2</v>
      </c>
      <c r="AB27">
        <f>Y27/0.7</f>
        <v>1276.1667264256866</v>
      </c>
      <c r="AD27">
        <f>0.7*U27-30</f>
        <v>-23.425283162500001</v>
      </c>
      <c r="AF27">
        <f>100/70*(100+U27)-100</f>
        <v>56.274932321428594</v>
      </c>
      <c r="AH27">
        <f>AF27-U27</f>
        <v>46.882479696428589</v>
      </c>
    </row>
    <row r="28" spans="1:34" x14ac:dyDescent="0.25">
      <c r="A28">
        <v>1</v>
      </c>
      <c r="C28" t="s">
        <v>78</v>
      </c>
      <c r="E28">
        <v>55</v>
      </c>
      <c r="F28">
        <v>450</v>
      </c>
      <c r="G28">
        <v>1</v>
      </c>
      <c r="K28" s="3" t="s">
        <v>323</v>
      </c>
      <c r="M28">
        <f>2*M8*B99</f>
        <v>0</v>
      </c>
    </row>
    <row r="29" spans="1:34" x14ac:dyDescent="0.25">
      <c r="A29">
        <v>1</v>
      </c>
      <c r="C29" t="s">
        <v>79</v>
      </c>
      <c r="E29">
        <v>55</v>
      </c>
      <c r="F29">
        <v>400</v>
      </c>
      <c r="G29">
        <v>1</v>
      </c>
      <c r="K29" s="3" t="s">
        <v>356</v>
      </c>
      <c r="M29">
        <f>M95*B107</f>
        <v>0</v>
      </c>
    </row>
    <row r="30" spans="1:34" x14ac:dyDescent="0.25">
      <c r="A30">
        <v>1</v>
      </c>
      <c r="C30" t="s">
        <v>81</v>
      </c>
      <c r="E30">
        <v>40</v>
      </c>
      <c r="F30">
        <v>400</v>
      </c>
      <c r="G30">
        <v>0.75</v>
      </c>
      <c r="K30" t="s">
        <v>347</v>
      </c>
      <c r="M30">
        <f>2*M25+M26+M27</f>
        <v>404.29124999999999</v>
      </c>
    </row>
    <row r="31" spans="1:34" x14ac:dyDescent="0.25">
      <c r="C31" t="s">
        <v>82</v>
      </c>
      <c r="F31">
        <v>400</v>
      </c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  <c r="X31">
        <v>5.3</v>
      </c>
      <c r="AD31" t="s">
        <v>299</v>
      </c>
      <c r="AF31" t="s">
        <v>300</v>
      </c>
      <c r="AH31" t="s">
        <v>302</v>
      </c>
    </row>
    <row r="32" spans="1:34" x14ac:dyDescent="0.25">
      <c r="C32" t="s">
        <v>84</v>
      </c>
      <c r="F32">
        <v>380</v>
      </c>
      <c r="K32" s="2" t="s">
        <v>348</v>
      </c>
      <c r="M32">
        <v>1</v>
      </c>
      <c r="R32">
        <v>0</v>
      </c>
      <c r="S32">
        <v>0.06</v>
      </c>
      <c r="U32">
        <f t="shared" ref="U32:U37" si="1">$Y$20*(1-S32)-R32</f>
        <v>45.443124999999995</v>
      </c>
      <c r="V32">
        <f t="shared" ref="V32:V37" si="2">$V$18*(100+U32)/100</f>
        <v>1187.7124114225001</v>
      </c>
      <c r="W32">
        <v>11332.5147474</v>
      </c>
      <c r="X32">
        <v>14352</v>
      </c>
      <c r="Y32">
        <f t="shared" ref="Y32:Y37" si="3">($V$18+$B$30*(50+10*$C$4))*(100+U32)/100</f>
        <v>1187.7124114225001</v>
      </c>
      <c r="Z32">
        <f>Y32/W32</f>
        <v>0.10480572387474676</v>
      </c>
      <c r="AB32">
        <f t="shared" ref="AB32:AB37" si="4">Y32/0.7</f>
        <v>1696.7320163178574</v>
      </c>
      <c r="AD32">
        <f t="shared" ref="AD32:AD37" si="5">0.7*U32-30</f>
        <v>1.8101874999999943</v>
      </c>
      <c r="AF32">
        <f t="shared" ref="AF32:AF37" si="6">100/70*(100+U32)-100</f>
        <v>107.77589285714288</v>
      </c>
      <c r="AH32">
        <f t="shared" ref="AH32:AH37" si="7">AF32-U32</f>
        <v>62.332767857142883</v>
      </c>
    </row>
    <row r="33" spans="1:34" x14ac:dyDescent="0.25">
      <c r="C33" t="s">
        <v>278</v>
      </c>
      <c r="D33">
        <v>50</v>
      </c>
      <c r="F33">
        <v>300</v>
      </c>
      <c r="G33">
        <v>1</v>
      </c>
      <c r="K33" t="s">
        <v>349</v>
      </c>
      <c r="M33">
        <v>0.06</v>
      </c>
      <c r="R33">
        <v>0</v>
      </c>
      <c r="S33">
        <v>0.38900000000000001</v>
      </c>
      <c r="U33">
        <f t="shared" si="1"/>
        <v>29.53803125</v>
      </c>
      <c r="V33">
        <f t="shared" si="2"/>
        <v>1057.828807424625</v>
      </c>
      <c r="Y33">
        <f t="shared" si="3"/>
        <v>1057.828807424625</v>
      </c>
      <c r="AB33">
        <f t="shared" si="4"/>
        <v>1511.1840106066072</v>
      </c>
      <c r="AD33">
        <f t="shared" si="5"/>
        <v>-9.3233781250000014</v>
      </c>
      <c r="AF33">
        <f t="shared" si="6"/>
        <v>85.054330357142845</v>
      </c>
      <c r="AH33">
        <f t="shared" si="7"/>
        <v>55.516299107142842</v>
      </c>
    </row>
    <row r="34" spans="1:34" x14ac:dyDescent="0.25">
      <c r="C34" t="s">
        <v>59</v>
      </c>
      <c r="F34">
        <v>250</v>
      </c>
      <c r="K34" t="s">
        <v>350</v>
      </c>
      <c r="M34">
        <f>0.3*B103</f>
        <v>0</v>
      </c>
      <c r="R34">
        <v>15</v>
      </c>
      <c r="S34">
        <v>0.06</v>
      </c>
      <c r="U34">
        <f t="shared" si="1"/>
        <v>30.443124999999995</v>
      </c>
      <c r="V34">
        <f t="shared" si="2"/>
        <v>1065.2199514225001</v>
      </c>
      <c r="Y34">
        <f t="shared" si="3"/>
        <v>1065.2199514225001</v>
      </c>
      <c r="AB34">
        <f t="shared" si="4"/>
        <v>1521.7427877464288</v>
      </c>
      <c r="AD34">
        <f t="shared" si="5"/>
        <v>-8.6898125000000057</v>
      </c>
      <c r="AF34">
        <f t="shared" si="6"/>
        <v>86.347321428571433</v>
      </c>
      <c r="AH34">
        <f t="shared" si="7"/>
        <v>55.904196428571439</v>
      </c>
    </row>
    <row r="35" spans="1:34" x14ac:dyDescent="0.25">
      <c r="C35" t="s">
        <v>240</v>
      </c>
      <c r="E35">
        <v>40</v>
      </c>
      <c r="F35">
        <v>200</v>
      </c>
      <c r="K35" t="s">
        <v>351</v>
      </c>
      <c r="M35">
        <f>0.35*B91</f>
        <v>0</v>
      </c>
      <c r="R35">
        <v>15</v>
      </c>
      <c r="S35">
        <v>0.38900000000000001</v>
      </c>
      <c r="U35">
        <f t="shared" si="1"/>
        <v>14.53803125</v>
      </c>
      <c r="V35">
        <f t="shared" si="2"/>
        <v>935.33634742462493</v>
      </c>
      <c r="Y35">
        <f t="shared" si="3"/>
        <v>935.33634742462493</v>
      </c>
      <c r="AB35">
        <f t="shared" si="4"/>
        <v>1336.1947820351786</v>
      </c>
      <c r="AD35">
        <f t="shared" si="5"/>
        <v>-19.823378125000001</v>
      </c>
      <c r="AF35">
        <f t="shared" si="6"/>
        <v>63.625758928571429</v>
      </c>
      <c r="AH35">
        <f t="shared" si="7"/>
        <v>49.087727678571426</v>
      </c>
    </row>
    <row r="36" spans="1:34" x14ac:dyDescent="0.25">
      <c r="C36" t="s">
        <v>107</v>
      </c>
      <c r="F36">
        <v>150</v>
      </c>
      <c r="K36" t="s">
        <v>352</v>
      </c>
      <c r="M36">
        <f>(1-M33)*(1-M34)*(1-M35)</f>
        <v>0.94</v>
      </c>
      <c r="O36">
        <v>300</v>
      </c>
      <c r="P36">
        <v>200</v>
      </c>
      <c r="Q36">
        <v>100</v>
      </c>
      <c r="R36">
        <v>30</v>
      </c>
      <c r="S36">
        <v>0.06</v>
      </c>
      <c r="U36">
        <f t="shared" si="1"/>
        <v>15.443124999999995</v>
      </c>
      <c r="V36">
        <f t="shared" si="2"/>
        <v>942.72749142250007</v>
      </c>
      <c r="Y36">
        <f t="shared" si="3"/>
        <v>942.72749142250007</v>
      </c>
      <c r="AB36">
        <f t="shared" si="4"/>
        <v>1346.7535591750002</v>
      </c>
      <c r="AD36">
        <f t="shared" si="5"/>
        <v>-19.189812500000002</v>
      </c>
      <c r="AF36">
        <f t="shared" si="6"/>
        <v>64.918749999999989</v>
      </c>
      <c r="AH36">
        <f t="shared" si="7"/>
        <v>49.475624999999994</v>
      </c>
    </row>
    <row r="37" spans="1:34" x14ac:dyDescent="0.25">
      <c r="C37" t="s">
        <v>85</v>
      </c>
      <c r="F37">
        <v>300</v>
      </c>
      <c r="I37">
        <f>(V14+V16+V15)*0.25</f>
        <v>14.684100000000001</v>
      </c>
      <c r="K37" t="s">
        <v>354</v>
      </c>
      <c r="M37">
        <v>11.52</v>
      </c>
      <c r="N37" s="1" t="s">
        <v>410</v>
      </c>
      <c r="O37">
        <v>526.70000000000005</v>
      </c>
      <c r="P37">
        <v>684.1</v>
      </c>
      <c r="Q37">
        <v>975.9</v>
      </c>
      <c r="R37">
        <v>30</v>
      </c>
      <c r="S37">
        <v>0.38900000000000001</v>
      </c>
      <c r="U37">
        <f t="shared" si="1"/>
        <v>-0.46196875000000048</v>
      </c>
      <c r="V37">
        <f t="shared" si="2"/>
        <v>812.843887424625</v>
      </c>
      <c r="W37">
        <v>7642.2235858100003</v>
      </c>
      <c r="Y37">
        <f t="shared" si="3"/>
        <v>812.843887424625</v>
      </c>
      <c r="Z37">
        <f>Y37/W37</f>
        <v>0.10636222276117449</v>
      </c>
      <c r="AB37">
        <f t="shared" si="4"/>
        <v>1161.20555346375</v>
      </c>
      <c r="AD37">
        <f t="shared" si="5"/>
        <v>-30.323378125000001</v>
      </c>
      <c r="AF37">
        <f t="shared" si="6"/>
        <v>42.197187500000013</v>
      </c>
      <c r="AH37">
        <f t="shared" si="7"/>
        <v>42.659156250000009</v>
      </c>
    </row>
    <row r="38" spans="1:34" x14ac:dyDescent="0.25">
      <c r="C38" t="s">
        <v>115</v>
      </c>
      <c r="F38">
        <v>80</v>
      </c>
      <c r="H38">
        <v>6</v>
      </c>
      <c r="K38" t="s">
        <v>355</v>
      </c>
      <c r="M38">
        <f>20*B97+10*B102</f>
        <v>0</v>
      </c>
      <c r="N38" s="1" t="s">
        <v>411</v>
      </c>
      <c r="O38">
        <v>522.54999999999995</v>
      </c>
      <c r="P38">
        <v>671</v>
      </c>
      <c r="Q38">
        <v>937.3</v>
      </c>
    </row>
    <row r="39" spans="1:34" x14ac:dyDescent="0.25">
      <c r="C39" t="s">
        <v>106</v>
      </c>
      <c r="D39">
        <v>100</v>
      </c>
      <c r="K39" s="2" t="s">
        <v>353</v>
      </c>
      <c r="M39">
        <f>M30*100/(100+M44*M36-IF(M44*M36&gt;M37,M37,M44*M36))</f>
        <v>221.5537319158264</v>
      </c>
      <c r="O39">
        <f>O37/O38</f>
        <v>1.0079418237489237</v>
      </c>
      <c r="P39">
        <f>P37/P38</f>
        <v>1.0195230998509688</v>
      </c>
      <c r="Q39">
        <f>Q37/Q38</f>
        <v>1.0411821188520218</v>
      </c>
      <c r="X39">
        <v>15700</v>
      </c>
      <c r="AA39" t="s">
        <v>285</v>
      </c>
    </row>
    <row r="40" spans="1:34" x14ac:dyDescent="0.25">
      <c r="C40" t="s">
        <v>105</v>
      </c>
      <c r="D40">
        <v>100</v>
      </c>
      <c r="X40">
        <v>14750</v>
      </c>
    </row>
    <row r="41" spans="1:34" x14ac:dyDescent="0.25">
      <c r="C41" t="s">
        <v>113</v>
      </c>
      <c r="D41">
        <v>50</v>
      </c>
      <c r="L41" t="s">
        <v>220</v>
      </c>
      <c r="M41">
        <v>2000</v>
      </c>
      <c r="Q41" t="s">
        <v>226</v>
      </c>
      <c r="R41">
        <v>10</v>
      </c>
    </row>
    <row r="42" spans="1:34" x14ac:dyDescent="0.25">
      <c r="C42" t="s">
        <v>297</v>
      </c>
      <c r="D42">
        <v>40</v>
      </c>
      <c r="G42">
        <v>1</v>
      </c>
      <c r="L42" t="s">
        <v>221</v>
      </c>
      <c r="M42">
        <v>2200</v>
      </c>
      <c r="Q42" t="s">
        <v>227</v>
      </c>
      <c r="R42">
        <f>5+1.67/18*B2*9</f>
        <v>5</v>
      </c>
      <c r="U42" t="s">
        <v>149</v>
      </c>
    </row>
    <row r="43" spans="1:34" x14ac:dyDescent="0.25">
      <c r="C43" t="s">
        <v>108</v>
      </c>
      <c r="D43">
        <v>40</v>
      </c>
      <c r="L43" t="s">
        <v>89</v>
      </c>
      <c r="M43">
        <v>4400</v>
      </c>
      <c r="Q43" t="s">
        <v>228</v>
      </c>
      <c r="R43">
        <v>35</v>
      </c>
      <c r="T43" t="s">
        <v>388</v>
      </c>
      <c r="U43">
        <v>7</v>
      </c>
      <c r="V43">
        <f>(36+625.64+98*U43)*1.03</f>
        <v>1388.0691999999999</v>
      </c>
    </row>
    <row r="44" spans="1:34" x14ac:dyDescent="0.25">
      <c r="A44">
        <v>1</v>
      </c>
      <c r="C44" t="s">
        <v>109</v>
      </c>
      <c r="D44">
        <v>25</v>
      </c>
      <c r="L44" t="s">
        <v>277</v>
      </c>
      <c r="M44">
        <v>100</v>
      </c>
      <c r="T44" t="s">
        <v>386</v>
      </c>
      <c r="U44">
        <f>MAX(1.5*U43,12)</f>
        <v>12</v>
      </c>
      <c r="X44" t="s">
        <v>277</v>
      </c>
      <c r="Y44">
        <v>9</v>
      </c>
    </row>
    <row r="45" spans="1:34" x14ac:dyDescent="0.25">
      <c r="C45" t="s">
        <v>114</v>
      </c>
      <c r="D45">
        <v>15</v>
      </c>
    </row>
    <row r="46" spans="1:34" x14ac:dyDescent="0.25">
      <c r="C46" t="s">
        <v>116</v>
      </c>
      <c r="E46">
        <v>50</v>
      </c>
      <c r="M46" t="s">
        <v>218</v>
      </c>
      <c r="N46" t="s">
        <v>268</v>
      </c>
      <c r="O46" t="s">
        <v>269</v>
      </c>
      <c r="T46" s="2" t="s">
        <v>309</v>
      </c>
    </row>
    <row r="47" spans="1:34" x14ac:dyDescent="0.25">
      <c r="C47" t="s">
        <v>127</v>
      </c>
      <c r="E47">
        <f>3/18*6*C4</f>
        <v>3</v>
      </c>
      <c r="L47" t="s">
        <v>25</v>
      </c>
      <c r="M47">
        <f>F8+M95</f>
        <v>127.7795</v>
      </c>
      <c r="N47">
        <v>8</v>
      </c>
      <c r="O47">
        <f>(1-0.01*$R$43)*N47</f>
        <v>5.1999999999999993</v>
      </c>
      <c r="T47" s="3" t="s">
        <v>305</v>
      </c>
      <c r="U47" s="3"/>
      <c r="V47" s="3">
        <f>V43</f>
        <v>1388.0691999999999</v>
      </c>
      <c r="X47" t="s">
        <v>307</v>
      </c>
      <c r="Z47">
        <f>V49*175</f>
        <v>175</v>
      </c>
    </row>
    <row r="48" spans="1:34" x14ac:dyDescent="0.25">
      <c r="C48" t="s">
        <v>119</v>
      </c>
      <c r="D48">
        <v>2</v>
      </c>
      <c r="E48">
        <v>0.9</v>
      </c>
      <c r="F48">
        <v>129</v>
      </c>
      <c r="T48" s="3" t="s">
        <v>304</v>
      </c>
      <c r="U48" s="3"/>
      <c r="V48" s="3">
        <f>M11+U44</f>
        <v>45.943750000000001</v>
      </c>
      <c r="X48" t="s">
        <v>308</v>
      </c>
      <c r="Z48">
        <f>1/(4-0.5*V49)</f>
        <v>0.2857142857142857</v>
      </c>
    </row>
    <row r="49" spans="3:27" x14ac:dyDescent="0.25">
      <c r="C49" t="s">
        <v>110</v>
      </c>
      <c r="E49">
        <v>25</v>
      </c>
      <c r="T49" s="3" t="s">
        <v>306</v>
      </c>
      <c r="U49" s="3"/>
      <c r="V49" s="3">
        <v>1</v>
      </c>
    </row>
    <row r="50" spans="3:27" x14ac:dyDescent="0.25">
      <c r="L50" t="s">
        <v>29</v>
      </c>
      <c r="M50">
        <f>F11</f>
        <v>0</v>
      </c>
      <c r="N50">
        <v>12</v>
      </c>
      <c r="O50">
        <f>(1-0.01*$R$43)*N50</f>
        <v>7.7999999999999989</v>
      </c>
    </row>
    <row r="51" spans="3:27" x14ac:dyDescent="0.25">
      <c r="T51" s="2" t="s">
        <v>303</v>
      </c>
      <c r="U51" s="2"/>
      <c r="V51" s="2">
        <f>(Z47/V47+Z48)/((100+V48)/100+Z48)</f>
        <v>0.23596153364644418</v>
      </c>
      <c r="W51">
        <f>V51*V47</f>
        <v>327.53093723939281</v>
      </c>
    </row>
    <row r="52" spans="3:27" x14ac:dyDescent="0.25">
      <c r="C52" s="2" t="s">
        <v>72</v>
      </c>
    </row>
    <row r="53" spans="3:27" x14ac:dyDescent="0.25">
      <c r="D53">
        <f t="shared" ref="D53:H62" si="8">D20*$B20</f>
        <v>0</v>
      </c>
      <c r="E53">
        <f t="shared" si="8"/>
        <v>0</v>
      </c>
      <c r="F53">
        <f t="shared" si="8"/>
        <v>0</v>
      </c>
      <c r="G53">
        <f t="shared" si="8"/>
        <v>0</v>
      </c>
      <c r="H53">
        <f t="shared" si="8"/>
        <v>0</v>
      </c>
      <c r="L53" t="s">
        <v>33</v>
      </c>
      <c r="M53">
        <f>F14</f>
        <v>206.66925000000001</v>
      </c>
      <c r="N53">
        <f>14-C14</f>
        <v>13</v>
      </c>
      <c r="O53">
        <f>(1-0.01*$R$43)*N53</f>
        <v>8.4499999999999993</v>
      </c>
    </row>
    <row r="54" spans="3:27" x14ac:dyDescent="0.25">
      <c r="D54">
        <f t="shared" si="8"/>
        <v>0</v>
      </c>
      <c r="E54">
        <f t="shared" si="8"/>
        <v>0</v>
      </c>
      <c r="F54">
        <f t="shared" si="8"/>
        <v>0</v>
      </c>
      <c r="G54">
        <f t="shared" si="8"/>
        <v>0</v>
      </c>
      <c r="H54">
        <f t="shared" si="8"/>
        <v>0</v>
      </c>
    </row>
    <row r="55" spans="3:27" x14ac:dyDescent="0.25">
      <c r="D55">
        <f t="shared" si="8"/>
        <v>0</v>
      </c>
      <c r="E55">
        <f t="shared" si="8"/>
        <v>0</v>
      </c>
      <c r="F55">
        <f t="shared" si="8"/>
        <v>0</v>
      </c>
      <c r="G55">
        <f t="shared" si="8"/>
        <v>0</v>
      </c>
      <c r="H55">
        <f t="shared" si="8"/>
        <v>0</v>
      </c>
      <c r="L55" t="s">
        <v>362</v>
      </c>
      <c r="M55" s="2">
        <f>M53+M47</f>
        <v>334.44875000000002</v>
      </c>
      <c r="N55">
        <f>549*100/(135)</f>
        <v>406.66666666666669</v>
      </c>
      <c r="O55">
        <f>521*100/(128)</f>
        <v>407.03125</v>
      </c>
    </row>
    <row r="56" spans="3:27" x14ac:dyDescent="0.25">
      <c r="D56">
        <f t="shared" si="8"/>
        <v>0</v>
      </c>
      <c r="E56">
        <f t="shared" si="8"/>
        <v>0</v>
      </c>
      <c r="F56">
        <f t="shared" si="8"/>
        <v>0</v>
      </c>
      <c r="G56">
        <f t="shared" si="8"/>
        <v>0</v>
      </c>
      <c r="H56">
        <f t="shared" si="8"/>
        <v>0</v>
      </c>
      <c r="L56" t="s">
        <v>389</v>
      </c>
      <c r="M56">
        <f>M55+S10</f>
        <v>404.29124999999999</v>
      </c>
    </row>
    <row r="57" spans="3:27" x14ac:dyDescent="0.25">
      <c r="D57">
        <f t="shared" si="8"/>
        <v>0</v>
      </c>
      <c r="E57">
        <f t="shared" si="8"/>
        <v>0</v>
      </c>
      <c r="F57">
        <f t="shared" si="8"/>
        <v>0</v>
      </c>
      <c r="G57">
        <f t="shared" si="8"/>
        <v>0</v>
      </c>
      <c r="H57">
        <f t="shared" si="8"/>
        <v>0</v>
      </c>
      <c r="L57" t="s">
        <v>356</v>
      </c>
      <c r="M57">
        <f>S10*B107</f>
        <v>0</v>
      </c>
      <c r="Y57" t="s">
        <v>316</v>
      </c>
    </row>
    <row r="58" spans="3:27" x14ac:dyDescent="0.25">
      <c r="D58">
        <f t="shared" si="8"/>
        <v>0</v>
      </c>
      <c r="E58">
        <f t="shared" si="8"/>
        <v>0</v>
      </c>
      <c r="F58">
        <f t="shared" si="8"/>
        <v>0</v>
      </c>
      <c r="G58">
        <f t="shared" si="8"/>
        <v>0</v>
      </c>
      <c r="H58">
        <f t="shared" si="8"/>
        <v>0</v>
      </c>
      <c r="L58" t="s">
        <v>397</v>
      </c>
      <c r="M58" t="s">
        <v>398</v>
      </c>
      <c r="N58" t="s">
        <v>399</v>
      </c>
      <c r="O58" t="s">
        <v>400</v>
      </c>
      <c r="P58" t="s">
        <v>401</v>
      </c>
      <c r="Q58" t="s">
        <v>402</v>
      </c>
      <c r="T58" s="1" t="s">
        <v>408</v>
      </c>
      <c r="Y58">
        <v>50</v>
      </c>
    </row>
    <row r="59" spans="3:27" x14ac:dyDescent="0.25">
      <c r="D59">
        <f t="shared" si="8"/>
        <v>0</v>
      </c>
      <c r="E59">
        <f t="shared" si="8"/>
        <v>0</v>
      </c>
      <c r="F59">
        <f t="shared" si="8"/>
        <v>0</v>
      </c>
      <c r="G59">
        <f t="shared" si="8"/>
        <v>0</v>
      </c>
      <c r="H59">
        <f t="shared" si="8"/>
        <v>0</v>
      </c>
      <c r="L59">
        <v>100</v>
      </c>
      <c r="M59">
        <f>L59*$AE$10</f>
        <v>0</v>
      </c>
      <c r="N59">
        <f>$AE$11</f>
        <v>11.52</v>
      </c>
      <c r="O59">
        <f>M59-N59</f>
        <v>-11.52</v>
      </c>
      <c r="P59">
        <f>100/(100+O59)</f>
        <v>1.1301989150090415</v>
      </c>
      <c r="Q59">
        <f>P59*$M$56</f>
        <v>456.92953209764914</v>
      </c>
      <c r="T59">
        <f>(M$56+M$57)*P59</f>
        <v>456.92953209764914</v>
      </c>
    </row>
    <row r="60" spans="3:27" x14ac:dyDescent="0.25">
      <c r="D60">
        <f t="shared" si="8"/>
        <v>0</v>
      </c>
      <c r="E60">
        <f t="shared" si="8"/>
        <v>0</v>
      </c>
      <c r="F60">
        <f t="shared" si="8"/>
        <v>0</v>
      </c>
      <c r="G60">
        <f t="shared" si="8"/>
        <v>0</v>
      </c>
      <c r="H60">
        <f t="shared" si="8"/>
        <v>0</v>
      </c>
      <c r="L60">
        <v>200</v>
      </c>
      <c r="M60">
        <f>L60*$AE$10</f>
        <v>0</v>
      </c>
      <c r="N60">
        <f>$AE$11</f>
        <v>11.52</v>
      </c>
      <c r="O60">
        <f>M60-N60</f>
        <v>-11.52</v>
      </c>
      <c r="P60">
        <f>100/(100+O60)</f>
        <v>1.1301989150090415</v>
      </c>
      <c r="Q60">
        <f>P60*$M$56</f>
        <v>456.92953209764914</v>
      </c>
      <c r="T60">
        <f>(M$56+M$57)*P60</f>
        <v>456.92953209764914</v>
      </c>
      <c r="Y60" t="s">
        <v>317</v>
      </c>
    </row>
    <row r="61" spans="3:27" x14ac:dyDescent="0.25">
      <c r="D61">
        <f t="shared" si="8"/>
        <v>0</v>
      </c>
      <c r="E61">
        <f t="shared" si="8"/>
        <v>0</v>
      </c>
      <c r="F61">
        <f t="shared" si="8"/>
        <v>0</v>
      </c>
      <c r="G61">
        <f t="shared" si="8"/>
        <v>0</v>
      </c>
      <c r="H61">
        <f t="shared" si="8"/>
        <v>0</v>
      </c>
      <c r="L61">
        <v>300</v>
      </c>
      <c r="M61">
        <f>L61*$AE$10</f>
        <v>0</v>
      </c>
      <c r="N61">
        <f>$AE$11</f>
        <v>11.52</v>
      </c>
      <c r="O61">
        <f>M61-N61</f>
        <v>-11.52</v>
      </c>
      <c r="P61">
        <f>100/(100+O61)</f>
        <v>1.1301989150090415</v>
      </c>
      <c r="Q61">
        <f>P61*$M$56</f>
        <v>456.92953209764914</v>
      </c>
      <c r="T61">
        <f>(M$56+M$57)*P61</f>
        <v>456.92953209764914</v>
      </c>
      <c r="Y61">
        <v>0.06</v>
      </c>
    </row>
    <row r="62" spans="3:27" x14ac:dyDescent="0.25">
      <c r="D62">
        <f t="shared" si="8"/>
        <v>0</v>
      </c>
      <c r="E62">
        <f t="shared" si="8"/>
        <v>0</v>
      </c>
      <c r="F62">
        <f t="shared" si="8"/>
        <v>0</v>
      </c>
      <c r="G62">
        <f t="shared" si="8"/>
        <v>0</v>
      </c>
      <c r="H62">
        <f t="shared" si="8"/>
        <v>0</v>
      </c>
    </row>
    <row r="63" spans="3:27" x14ac:dyDescent="0.25">
      <c r="D63">
        <f t="shared" ref="D63:H72" si="9">D30*$B30</f>
        <v>0</v>
      </c>
      <c r="E63">
        <f t="shared" si="9"/>
        <v>0</v>
      </c>
      <c r="F63">
        <f t="shared" si="9"/>
        <v>0</v>
      </c>
      <c r="G63">
        <f t="shared" si="9"/>
        <v>0</v>
      </c>
      <c r="H63">
        <f t="shared" si="9"/>
        <v>0</v>
      </c>
      <c r="K63" t="s">
        <v>403</v>
      </c>
      <c r="L63" t="s">
        <v>404</v>
      </c>
      <c r="N63" t="s">
        <v>405</v>
      </c>
      <c r="P63" t="s">
        <v>406</v>
      </c>
      <c r="R63" t="s">
        <v>361</v>
      </c>
      <c r="T63" t="s">
        <v>407</v>
      </c>
      <c r="Y63" t="s">
        <v>318</v>
      </c>
      <c r="AA63">
        <f>100/(100+Y58)</f>
        <v>0.66666666666666663</v>
      </c>
    </row>
    <row r="64" spans="3:27" x14ac:dyDescent="0.25">
      <c r="D64">
        <f t="shared" si="9"/>
        <v>0</v>
      </c>
      <c r="E64">
        <f t="shared" si="9"/>
        <v>0</v>
      </c>
      <c r="F64">
        <f t="shared" si="9"/>
        <v>0</v>
      </c>
      <c r="G64">
        <f t="shared" si="9"/>
        <v>0</v>
      </c>
      <c r="H64">
        <f t="shared" si="9"/>
        <v>0</v>
      </c>
      <c r="J64">
        <v>100</v>
      </c>
      <c r="K64">
        <v>975.9</v>
      </c>
      <c r="L64">
        <v>1321.9</v>
      </c>
      <c r="M64">
        <f>L64/$K64</f>
        <v>1.3545445230044064</v>
      </c>
      <c r="N64">
        <v>1253</v>
      </c>
      <c r="O64">
        <f>N64/$K64</f>
        <v>1.2839430269494825</v>
      </c>
      <c r="P64">
        <f>1320.9</f>
        <v>1320.9</v>
      </c>
      <c r="Q64">
        <f>P64/$K64</f>
        <v>1.3535198278512144</v>
      </c>
      <c r="R64">
        <f>1472.3</f>
        <v>1472.3</v>
      </c>
      <c r="S64">
        <f>R64/$K64</f>
        <v>1.5086586740444718</v>
      </c>
      <c r="T64">
        <v>1281.4000000000001</v>
      </c>
      <c r="U64">
        <f>T64/$K64</f>
        <v>1.3130443693001332</v>
      </c>
      <c r="Y64" t="s">
        <v>319</v>
      </c>
      <c r="AA64">
        <f>100/(100+Y58*(1-Y61))</f>
        <v>0.68027210884353739</v>
      </c>
    </row>
    <row r="65" spans="4:29" x14ac:dyDescent="0.25">
      <c r="D65">
        <f t="shared" si="9"/>
        <v>0</v>
      </c>
      <c r="E65">
        <f t="shared" si="9"/>
        <v>0</v>
      </c>
      <c r="F65">
        <f t="shared" si="9"/>
        <v>0</v>
      </c>
      <c r="G65">
        <f t="shared" si="9"/>
        <v>0</v>
      </c>
      <c r="H65">
        <f t="shared" si="9"/>
        <v>0</v>
      </c>
      <c r="J65">
        <v>200</v>
      </c>
      <c r="K65">
        <v>684.1</v>
      </c>
      <c r="L65">
        <v>887.1</v>
      </c>
      <c r="M65">
        <f>L65/K65</f>
        <v>1.2967402426545827</v>
      </c>
      <c r="N65">
        <v>878.4</v>
      </c>
      <c r="O65">
        <f>N65/$K65</f>
        <v>1.2840228036836718</v>
      </c>
      <c r="P65">
        <v>996.2</v>
      </c>
      <c r="Q65">
        <f>P65/$K65</f>
        <v>1.4562198508989914</v>
      </c>
      <c r="R65">
        <v>1032.0999999999999</v>
      </c>
      <c r="S65">
        <f>R65/$K65</f>
        <v>1.5086975588364273</v>
      </c>
      <c r="T65">
        <v>898.3</v>
      </c>
      <c r="U65">
        <f>T65/$K65</f>
        <v>1.3131121181113872</v>
      </c>
      <c r="Y65" t="s">
        <v>320</v>
      </c>
      <c r="AA65">
        <f>(AA64-AA63)/AA64</f>
        <v>2.0000000000000021E-2</v>
      </c>
    </row>
    <row r="66" spans="4:29" x14ac:dyDescent="0.25">
      <c r="D66">
        <f t="shared" si="9"/>
        <v>0</v>
      </c>
      <c r="E66">
        <f t="shared" si="9"/>
        <v>0</v>
      </c>
      <c r="F66">
        <f t="shared" si="9"/>
        <v>0</v>
      </c>
      <c r="G66">
        <f t="shared" si="9"/>
        <v>0</v>
      </c>
      <c r="H66">
        <f t="shared" si="9"/>
        <v>0</v>
      </c>
      <c r="J66">
        <v>300</v>
      </c>
      <c r="K66">
        <v>526.70000000000005</v>
      </c>
      <c r="L66">
        <v>667.6</v>
      </c>
      <c r="M66">
        <f>L66/K66</f>
        <v>1.2675147142585912</v>
      </c>
      <c r="N66">
        <v>676.2</v>
      </c>
      <c r="O66">
        <f>N66/$K66</f>
        <v>1.2838427947598252</v>
      </c>
      <c r="P66">
        <v>799.7</v>
      </c>
      <c r="Q66">
        <f>P66/$K66</f>
        <v>1.518321625213594</v>
      </c>
      <c r="R66">
        <v>794.5</v>
      </c>
      <c r="S66">
        <f>R66/$K66</f>
        <v>1.5084488323523826</v>
      </c>
      <c r="T66">
        <v>691.5</v>
      </c>
      <c r="U66">
        <f>T66/$K66</f>
        <v>1.3128915891399278</v>
      </c>
    </row>
    <row r="67" spans="4:29" x14ac:dyDescent="0.25">
      <c r="D67">
        <f t="shared" si="9"/>
        <v>0</v>
      </c>
      <c r="E67">
        <f t="shared" si="9"/>
        <v>0</v>
      </c>
      <c r="F67">
        <f t="shared" si="9"/>
        <v>0</v>
      </c>
      <c r="G67">
        <f t="shared" si="9"/>
        <v>0</v>
      </c>
      <c r="H67">
        <f t="shared" si="9"/>
        <v>0</v>
      </c>
    </row>
    <row r="68" spans="4:29" x14ac:dyDescent="0.25">
      <c r="D68">
        <f t="shared" si="9"/>
        <v>0</v>
      </c>
      <c r="E68">
        <f t="shared" si="9"/>
        <v>0</v>
      </c>
      <c r="F68">
        <f t="shared" si="9"/>
        <v>0</v>
      </c>
      <c r="G68">
        <f t="shared" si="9"/>
        <v>0</v>
      </c>
      <c r="H68">
        <f t="shared" si="9"/>
        <v>0</v>
      </c>
      <c r="M68" t="s">
        <v>287</v>
      </c>
      <c r="N68" t="s">
        <v>133</v>
      </c>
    </row>
    <row r="69" spans="4:29" x14ac:dyDescent="0.25">
      <c r="D69">
        <f t="shared" si="9"/>
        <v>0</v>
      </c>
      <c r="E69">
        <f t="shared" si="9"/>
        <v>0</v>
      </c>
      <c r="F69">
        <f t="shared" si="9"/>
        <v>0</v>
      </c>
      <c r="G69">
        <f t="shared" si="9"/>
        <v>0</v>
      </c>
      <c r="H69">
        <f t="shared" si="9"/>
        <v>0</v>
      </c>
      <c r="L69" t="s">
        <v>222</v>
      </c>
      <c r="M69">
        <f>M47+M72</f>
        <v>127.7795</v>
      </c>
      <c r="N69">
        <f>M69/(O47+4.5)</f>
        <v>13.173144329896909</v>
      </c>
      <c r="T69" t="s">
        <v>369</v>
      </c>
      <c r="W69" t="s">
        <v>375</v>
      </c>
      <c r="AA69" t="s">
        <v>371</v>
      </c>
    </row>
    <row r="70" spans="4:29" x14ac:dyDescent="0.25">
      <c r="D70">
        <f t="shared" si="9"/>
        <v>0</v>
      </c>
      <c r="E70">
        <f t="shared" si="9"/>
        <v>0</v>
      </c>
      <c r="F70">
        <f t="shared" si="9"/>
        <v>0</v>
      </c>
      <c r="G70">
        <f t="shared" si="9"/>
        <v>0</v>
      </c>
      <c r="H70">
        <f t="shared" si="9"/>
        <v>0</v>
      </c>
      <c r="L70" t="s">
        <v>223</v>
      </c>
      <c r="M70">
        <f>M50</f>
        <v>0</v>
      </c>
      <c r="N70">
        <f>M70/O50</f>
        <v>0</v>
      </c>
      <c r="R70" s="2"/>
      <c r="V70" t="s">
        <v>362</v>
      </c>
    </row>
    <row r="71" spans="4:29" x14ac:dyDescent="0.25">
      <c r="D71">
        <f t="shared" si="9"/>
        <v>0</v>
      </c>
      <c r="E71">
        <f t="shared" si="9"/>
        <v>0</v>
      </c>
      <c r="F71">
        <f t="shared" si="9"/>
        <v>0</v>
      </c>
      <c r="G71">
        <f t="shared" si="9"/>
        <v>0</v>
      </c>
      <c r="H71">
        <f t="shared" si="9"/>
        <v>0</v>
      </c>
      <c r="L71" t="s">
        <v>224</v>
      </c>
      <c r="M71">
        <f>M53</f>
        <v>206.66925000000001</v>
      </c>
      <c r="N71">
        <f>M71/(O53+3)</f>
        <v>18.049716157205243</v>
      </c>
      <c r="T71" t="s">
        <v>363</v>
      </c>
      <c r="V71">
        <f>371.8</f>
        <v>371.8</v>
      </c>
      <c r="W71">
        <v>270.60000000000002</v>
      </c>
      <c r="AA71" t="s">
        <v>372</v>
      </c>
      <c r="AC71">
        <v>254</v>
      </c>
    </row>
    <row r="72" spans="4:29" x14ac:dyDescent="0.25">
      <c r="D72">
        <f t="shared" si="9"/>
        <v>0</v>
      </c>
      <c r="E72">
        <f t="shared" si="9"/>
        <v>0</v>
      </c>
      <c r="F72">
        <f t="shared" si="9"/>
        <v>0</v>
      </c>
      <c r="G72">
        <f t="shared" si="9"/>
        <v>0</v>
      </c>
      <c r="H72">
        <f t="shared" si="9"/>
        <v>0</v>
      </c>
      <c r="L72" t="s">
        <v>294</v>
      </c>
      <c r="T72" t="s">
        <v>364</v>
      </c>
      <c r="V72">
        <v>343.1</v>
      </c>
      <c r="W72">
        <v>272.3</v>
      </c>
      <c r="AA72" t="s">
        <v>114</v>
      </c>
      <c r="AC72">
        <v>240</v>
      </c>
    </row>
    <row r="73" spans="4:29" x14ac:dyDescent="0.25">
      <c r="D73">
        <f t="shared" ref="D73:H82" si="10">D40*$B40</f>
        <v>0</v>
      </c>
      <c r="E73">
        <f t="shared" si="10"/>
        <v>0</v>
      </c>
      <c r="F73">
        <f t="shared" si="10"/>
        <v>0</v>
      </c>
      <c r="G73">
        <f t="shared" si="10"/>
        <v>0</v>
      </c>
      <c r="H73">
        <f t="shared" si="10"/>
        <v>0</v>
      </c>
      <c r="L73" t="s">
        <v>233</v>
      </c>
      <c r="M73">
        <f>SUM(M69:M71)</f>
        <v>334.44875000000002</v>
      </c>
      <c r="N73">
        <f>SUM(N69:N71)</f>
        <v>31.222860487102153</v>
      </c>
      <c r="W73">
        <f>W72/W71</f>
        <v>1.0062823355506283</v>
      </c>
    </row>
    <row r="74" spans="4:29" x14ac:dyDescent="0.25">
      <c r="D74">
        <f t="shared" si="10"/>
        <v>0</v>
      </c>
      <c r="E74">
        <f t="shared" si="10"/>
        <v>0</v>
      </c>
      <c r="F74">
        <f t="shared" si="10"/>
        <v>0</v>
      </c>
      <c r="G74">
        <f t="shared" si="10"/>
        <v>0</v>
      </c>
      <c r="H74">
        <f t="shared" si="10"/>
        <v>0</v>
      </c>
      <c r="L74" t="s">
        <v>239</v>
      </c>
      <c r="N74">
        <f>B37*(24+1.5*C4)+B27*(25+C4)</f>
        <v>0</v>
      </c>
    </row>
    <row r="75" spans="4:29" x14ac:dyDescent="0.25">
      <c r="D75">
        <f t="shared" si="10"/>
        <v>0</v>
      </c>
      <c r="E75">
        <f t="shared" si="10"/>
        <v>0</v>
      </c>
      <c r="F75">
        <f t="shared" si="10"/>
        <v>0</v>
      </c>
      <c r="G75">
        <f t="shared" si="10"/>
        <v>0</v>
      </c>
      <c r="H75">
        <f t="shared" si="10"/>
        <v>0</v>
      </c>
      <c r="L75" t="s">
        <v>329</v>
      </c>
      <c r="M75">
        <f>2*M8*B99</f>
        <v>0</v>
      </c>
      <c r="N75">
        <f>M75/8</f>
        <v>0</v>
      </c>
      <c r="P75" t="s">
        <v>361</v>
      </c>
      <c r="T75" t="s">
        <v>370</v>
      </c>
    </row>
    <row r="76" spans="4:29" x14ac:dyDescent="0.25">
      <c r="D76">
        <f t="shared" si="10"/>
        <v>0</v>
      </c>
      <c r="E76">
        <f t="shared" si="10"/>
        <v>0</v>
      </c>
      <c r="F76">
        <f t="shared" si="10"/>
        <v>0</v>
      </c>
      <c r="G76">
        <f t="shared" si="10"/>
        <v>0</v>
      </c>
      <c r="H76">
        <f t="shared" si="10"/>
        <v>0</v>
      </c>
      <c r="L76" t="s">
        <v>360</v>
      </c>
      <c r="M76">
        <f>S10*B107</f>
        <v>0</v>
      </c>
      <c r="P76">
        <v>2061</v>
      </c>
      <c r="Q76">
        <v>553</v>
      </c>
      <c r="T76" t="s">
        <v>363</v>
      </c>
      <c r="V76">
        <v>496.9</v>
      </c>
      <c r="W76">
        <v>347</v>
      </c>
      <c r="AA76" t="s">
        <v>372</v>
      </c>
      <c r="AC76">
        <v>342.3</v>
      </c>
    </row>
    <row r="77" spans="4:29" x14ac:dyDescent="0.25">
      <c r="D77">
        <f t="shared" si="10"/>
        <v>0</v>
      </c>
      <c r="E77">
        <f t="shared" si="10"/>
        <v>0</v>
      </c>
      <c r="F77">
        <f t="shared" si="10"/>
        <v>0</v>
      </c>
      <c r="G77">
        <f t="shared" si="10"/>
        <v>0</v>
      </c>
      <c r="H77">
        <f t="shared" si="10"/>
        <v>0</v>
      </c>
      <c r="L77" t="s">
        <v>232</v>
      </c>
      <c r="N77">
        <f>M99</f>
        <v>45.389985976562507</v>
      </c>
      <c r="T77" t="s">
        <v>364</v>
      </c>
      <c r="V77">
        <v>464.6</v>
      </c>
      <c r="W77">
        <v>352.8</v>
      </c>
      <c r="AA77" t="s">
        <v>114</v>
      </c>
      <c r="AC77">
        <v>304.5</v>
      </c>
    </row>
    <row r="78" spans="4:29" x14ac:dyDescent="0.25">
      <c r="D78">
        <f t="shared" si="10"/>
        <v>0</v>
      </c>
      <c r="E78">
        <f t="shared" si="10"/>
        <v>0</v>
      </c>
      <c r="F78">
        <f t="shared" si="10"/>
        <v>0</v>
      </c>
      <c r="G78">
        <f t="shared" si="10"/>
        <v>0</v>
      </c>
      <c r="H78">
        <f t="shared" si="10"/>
        <v>0</v>
      </c>
      <c r="L78" t="s">
        <v>234</v>
      </c>
      <c r="M78">
        <f>SUM(M73:M75)</f>
        <v>334.44875000000002</v>
      </c>
      <c r="N78" s="2">
        <f>N77+N73+N74+N75</f>
        <v>76.612846463664653</v>
      </c>
      <c r="P78" t="s">
        <v>329</v>
      </c>
      <c r="W78">
        <f>W77/W76</f>
        <v>1.0167146974063401</v>
      </c>
    </row>
    <row r="79" spans="4:29" x14ac:dyDescent="0.25">
      <c r="D79">
        <f t="shared" si="10"/>
        <v>0</v>
      </c>
      <c r="E79">
        <f t="shared" si="10"/>
        <v>0</v>
      </c>
      <c r="F79">
        <f t="shared" si="10"/>
        <v>0</v>
      </c>
      <c r="G79">
        <f t="shared" si="10"/>
        <v>0</v>
      </c>
      <c r="H79">
        <f t="shared" si="10"/>
        <v>0</v>
      </c>
      <c r="P79">
        <v>1809</v>
      </c>
      <c r="Q79">
        <v>480</v>
      </c>
      <c r="T79" t="s">
        <v>376</v>
      </c>
    </row>
    <row r="80" spans="4:29" x14ac:dyDescent="0.25">
      <c r="D80">
        <f t="shared" si="10"/>
        <v>0</v>
      </c>
      <c r="E80">
        <f t="shared" si="10"/>
        <v>0</v>
      </c>
      <c r="F80">
        <f t="shared" si="10"/>
        <v>0</v>
      </c>
      <c r="G80">
        <f t="shared" si="10"/>
        <v>0</v>
      </c>
      <c r="H80">
        <f t="shared" si="10"/>
        <v>0</v>
      </c>
      <c r="T80" t="s">
        <v>363</v>
      </c>
      <c r="V80">
        <v>1367.4</v>
      </c>
      <c r="W80">
        <v>684</v>
      </c>
    </row>
    <row r="81" spans="2:28" x14ac:dyDescent="0.25">
      <c r="D81">
        <f t="shared" si="10"/>
        <v>0</v>
      </c>
      <c r="E81">
        <f t="shared" si="10"/>
        <v>0</v>
      </c>
      <c r="F81">
        <f t="shared" si="10"/>
        <v>0</v>
      </c>
      <c r="G81">
        <f t="shared" si="10"/>
        <v>0</v>
      </c>
      <c r="H81">
        <f t="shared" si="10"/>
        <v>0</v>
      </c>
      <c r="T81" t="s">
        <v>364</v>
      </c>
      <c r="V81">
        <v>1327.4459999999999</v>
      </c>
      <c r="W81">
        <v>717</v>
      </c>
    </row>
    <row r="82" spans="2:28" x14ac:dyDescent="0.25">
      <c r="D82">
        <f t="shared" si="10"/>
        <v>0</v>
      </c>
      <c r="E82">
        <f t="shared" si="10"/>
        <v>0</v>
      </c>
      <c r="F82">
        <f t="shared" si="10"/>
        <v>0</v>
      </c>
      <c r="G82">
        <f t="shared" si="10"/>
        <v>0</v>
      </c>
      <c r="H82">
        <f t="shared" si="10"/>
        <v>0</v>
      </c>
      <c r="W82">
        <f>W81/W80</f>
        <v>1.0482456140350878</v>
      </c>
      <c r="AA82" t="s">
        <v>420</v>
      </c>
    </row>
    <row r="83" spans="2:28" x14ac:dyDescent="0.25">
      <c r="C83" s="2" t="s">
        <v>73</v>
      </c>
      <c r="D83">
        <f>SUM(D53:D82)</f>
        <v>0</v>
      </c>
      <c r="E83">
        <f>SUM(E53:E82)</f>
        <v>0</v>
      </c>
      <c r="F83">
        <f>SUM(F53:F82)</f>
        <v>0</v>
      </c>
      <c r="G83">
        <f>SUM(G53:G82)</f>
        <v>0</v>
      </c>
      <c r="H83">
        <f>SUM(H53:H82)</f>
        <v>0</v>
      </c>
      <c r="R83" t="s">
        <v>255</v>
      </c>
      <c r="T83" t="s">
        <v>256</v>
      </c>
      <c r="U83" t="s">
        <v>258</v>
      </c>
      <c r="V83" t="s">
        <v>259</v>
      </c>
      <c r="AA83" t="s">
        <v>25</v>
      </c>
      <c r="AB83">
        <f>F8*100/(100+S20-AE4)</f>
        <v>44.294850476114021</v>
      </c>
    </row>
    <row r="84" spans="2:28" x14ac:dyDescent="0.25">
      <c r="R84">
        <f>S20</f>
        <v>42.3185</v>
      </c>
      <c r="S84">
        <f>100/(100+S20)</f>
        <v>0.70264933933395868</v>
      </c>
      <c r="AA84" t="s">
        <v>33</v>
      </c>
      <c r="AB84">
        <f>F14*100/(100+S20-AE4)</f>
        <v>158.00582575488252</v>
      </c>
    </row>
    <row r="85" spans="2:28" x14ac:dyDescent="0.25">
      <c r="Q85" t="s">
        <v>257</v>
      </c>
      <c r="S85">
        <f>S84*0.9</f>
        <v>0.63238440540056284</v>
      </c>
      <c r="T85">
        <f>100/S85-100</f>
        <v>58.131666666666661</v>
      </c>
      <c r="U85">
        <f>T85-R84</f>
        <v>15.81316666666666</v>
      </c>
      <c r="AA85" t="s">
        <v>421</v>
      </c>
    </row>
    <row r="86" spans="2:28" x14ac:dyDescent="0.25">
      <c r="Q86" t="s">
        <v>259</v>
      </c>
      <c r="S86">
        <f>S85*0.85</f>
        <v>0.53752674459047844</v>
      </c>
      <c r="T86">
        <f>100/S86-100</f>
        <v>86.037254901960779</v>
      </c>
      <c r="V86">
        <f>T86-T85</f>
        <v>27.905588235294118</v>
      </c>
    </row>
    <row r="87" spans="2:28" x14ac:dyDescent="0.25">
      <c r="B87" s="2" t="s">
        <v>35</v>
      </c>
      <c r="C87" s="2" t="s">
        <v>36</v>
      </c>
      <c r="D87" s="2" t="s">
        <v>37</v>
      </c>
      <c r="E87" s="2" t="s">
        <v>38</v>
      </c>
      <c r="F87" s="2" t="s">
        <v>39</v>
      </c>
      <c r="G87" s="2" t="s">
        <v>391</v>
      </c>
      <c r="H87" s="2" t="s">
        <v>392</v>
      </c>
      <c r="K87" s="2" t="s">
        <v>40</v>
      </c>
      <c r="L87" s="2" t="s">
        <v>37</v>
      </c>
      <c r="M87" s="2" t="s">
        <v>38</v>
      </c>
      <c r="N87" s="2" t="s">
        <v>41</v>
      </c>
    </row>
    <row r="88" spans="2:28" x14ac:dyDescent="0.25">
      <c r="C88" t="s">
        <v>43</v>
      </c>
      <c r="D88">
        <v>80</v>
      </c>
      <c r="E88">
        <v>0</v>
      </c>
      <c r="F88">
        <v>0.25</v>
      </c>
      <c r="L88">
        <f>D138</f>
        <v>0</v>
      </c>
      <c r="M88">
        <f>E138</f>
        <v>0</v>
      </c>
      <c r="N88">
        <f>F138</f>
        <v>0</v>
      </c>
    </row>
    <row r="89" spans="2:28" x14ac:dyDescent="0.25">
      <c r="C89" t="s">
        <v>44</v>
      </c>
      <c r="D89">
        <v>0</v>
      </c>
      <c r="E89">
        <v>0.5</v>
      </c>
      <c r="F89">
        <v>0.3</v>
      </c>
    </row>
    <row r="90" spans="2:28" x14ac:dyDescent="0.25">
      <c r="C90" t="s">
        <v>45</v>
      </c>
      <c r="E90">
        <v>0.4</v>
      </c>
      <c r="F90">
        <v>0.2</v>
      </c>
      <c r="K90" t="s">
        <v>12</v>
      </c>
      <c r="M90">
        <f>AA10</f>
        <v>0.64989062500000006</v>
      </c>
    </row>
    <row r="91" spans="2:28" x14ac:dyDescent="0.25">
      <c r="C91" t="s">
        <v>46</v>
      </c>
      <c r="D91">
        <v>40</v>
      </c>
      <c r="E91">
        <v>0</v>
      </c>
      <c r="F91">
        <v>0</v>
      </c>
      <c r="H91">
        <v>0.35</v>
      </c>
    </row>
    <row r="92" spans="2:28" x14ac:dyDescent="0.25">
      <c r="C92" t="s">
        <v>47</v>
      </c>
      <c r="D92">
        <v>80</v>
      </c>
      <c r="E92">
        <v>0</v>
      </c>
      <c r="F92">
        <v>0</v>
      </c>
      <c r="K92" t="s">
        <v>48</v>
      </c>
      <c r="M92">
        <v>2.5</v>
      </c>
    </row>
    <row r="93" spans="2:28" x14ac:dyDescent="0.25">
      <c r="C93" t="s">
        <v>49</v>
      </c>
      <c r="D93">
        <v>80</v>
      </c>
    </row>
    <row r="94" spans="2:28" x14ac:dyDescent="0.25">
      <c r="C94" t="s">
        <v>50</v>
      </c>
      <c r="D94">
        <v>7</v>
      </c>
      <c r="K94" t="s">
        <v>51</v>
      </c>
      <c r="M94">
        <f>S10</f>
        <v>69.842500000000001</v>
      </c>
    </row>
    <row r="95" spans="2:28" x14ac:dyDescent="0.25">
      <c r="C95" t="s">
        <v>52</v>
      </c>
      <c r="D95">
        <v>25</v>
      </c>
      <c r="E95">
        <v>0.5</v>
      </c>
      <c r="K95" t="s">
        <v>53</v>
      </c>
      <c r="M95">
        <f>M94*(1+1.5*N88)</f>
        <v>69.842500000000001</v>
      </c>
    </row>
    <row r="96" spans="2:28" x14ac:dyDescent="0.25">
      <c r="C96" t="s">
        <v>54</v>
      </c>
      <c r="D96">
        <v>25</v>
      </c>
      <c r="E96">
        <v>0.4</v>
      </c>
      <c r="F96">
        <v>0</v>
      </c>
      <c r="K96" t="s">
        <v>55</v>
      </c>
      <c r="M96">
        <f>M94*IF(B88,2.5,2)</f>
        <v>139.685</v>
      </c>
      <c r="R96">
        <v>14</v>
      </c>
      <c r="S96">
        <v>2.8</v>
      </c>
      <c r="V96">
        <v>8</v>
      </c>
      <c r="W96">
        <v>1.6</v>
      </c>
    </row>
    <row r="97" spans="3:23" x14ac:dyDescent="0.25">
      <c r="C97" t="s">
        <v>56</v>
      </c>
      <c r="D97">
        <v>30</v>
      </c>
      <c r="E97">
        <v>0</v>
      </c>
      <c r="F97">
        <v>0.15</v>
      </c>
      <c r="G97">
        <v>20</v>
      </c>
      <c r="R97">
        <v>28</v>
      </c>
      <c r="S97">
        <v>5.6</v>
      </c>
      <c r="V97">
        <v>20</v>
      </c>
      <c r="W97">
        <v>4</v>
      </c>
    </row>
    <row r="98" spans="3:23" x14ac:dyDescent="0.25">
      <c r="C98" t="s">
        <v>57</v>
      </c>
      <c r="E98">
        <v>0.2</v>
      </c>
      <c r="K98" t="s">
        <v>58</v>
      </c>
      <c r="M98">
        <f>S10*M90</f>
        <v>45.389985976562507</v>
      </c>
    </row>
    <row r="99" spans="3:23" x14ac:dyDescent="0.25">
      <c r="C99" t="s">
        <v>59</v>
      </c>
      <c r="D99">
        <v>30</v>
      </c>
      <c r="E99">
        <v>0.3</v>
      </c>
      <c r="F99">
        <v>0.1</v>
      </c>
      <c r="K99" t="s">
        <v>60</v>
      </c>
      <c r="M99">
        <f>M98*(1+1.5*N88)</f>
        <v>45.389985976562507</v>
      </c>
    </row>
    <row r="100" spans="3:23" x14ac:dyDescent="0.25">
      <c r="C100" t="s">
        <v>61</v>
      </c>
      <c r="D100">
        <v>20</v>
      </c>
    </row>
    <row r="101" spans="3:23" x14ac:dyDescent="0.25">
      <c r="C101" t="s">
        <v>62</v>
      </c>
      <c r="D101">
        <v>60</v>
      </c>
    </row>
    <row r="102" spans="3:23" x14ac:dyDescent="0.25">
      <c r="C102" t="s">
        <v>63</v>
      </c>
      <c r="D102">
        <v>25</v>
      </c>
      <c r="G102">
        <v>10</v>
      </c>
    </row>
    <row r="103" spans="3:23" x14ac:dyDescent="0.25">
      <c r="C103" t="s">
        <v>64</v>
      </c>
      <c r="D103">
        <v>40</v>
      </c>
      <c r="H103">
        <v>0.3</v>
      </c>
    </row>
    <row r="104" spans="3:23" x14ac:dyDescent="0.25">
      <c r="C104" t="s">
        <v>65</v>
      </c>
      <c r="D104">
        <v>25</v>
      </c>
    </row>
    <row r="105" spans="3:23" x14ac:dyDescent="0.25">
      <c r="C105" t="s">
        <v>66</v>
      </c>
      <c r="D105">
        <v>25</v>
      </c>
    </row>
    <row r="106" spans="3:23" x14ac:dyDescent="0.25">
      <c r="C106" t="s">
        <v>67</v>
      </c>
      <c r="D106">
        <v>40</v>
      </c>
    </row>
    <row r="107" spans="3:23" x14ac:dyDescent="0.25">
      <c r="C107" t="s">
        <v>68</v>
      </c>
      <c r="D107">
        <v>75</v>
      </c>
    </row>
    <row r="108" spans="3:23" x14ac:dyDescent="0.25">
      <c r="C108" t="s">
        <v>69</v>
      </c>
      <c r="D108">
        <v>10</v>
      </c>
    </row>
    <row r="109" spans="3:23" x14ac:dyDescent="0.25">
      <c r="C109" t="s">
        <v>70</v>
      </c>
      <c r="D109">
        <v>25</v>
      </c>
    </row>
    <row r="110" spans="3:23" x14ac:dyDescent="0.25">
      <c r="C110" t="s">
        <v>71</v>
      </c>
      <c r="D110">
        <v>50</v>
      </c>
    </row>
    <row r="114" spans="3:8" x14ac:dyDescent="0.25">
      <c r="C114" s="2" t="s">
        <v>72</v>
      </c>
    </row>
    <row r="115" spans="3:8" x14ac:dyDescent="0.25">
      <c r="D115">
        <f t="shared" ref="D115:D137" si="11">D88*B88</f>
        <v>0</v>
      </c>
      <c r="E115">
        <f t="shared" ref="E115:E137" si="12">E88*B88</f>
        <v>0</v>
      </c>
      <c r="F115">
        <f>F88*$B88</f>
        <v>0</v>
      </c>
      <c r="G115">
        <f>G88*$B88</f>
        <v>0</v>
      </c>
      <c r="H115">
        <f>1-H88*$B88</f>
        <v>1</v>
      </c>
    </row>
    <row r="116" spans="3:8" x14ac:dyDescent="0.25">
      <c r="D116">
        <f t="shared" si="11"/>
        <v>0</v>
      </c>
      <c r="E116">
        <f t="shared" si="12"/>
        <v>0</v>
      </c>
      <c r="F116">
        <f t="shared" ref="F116:G137" si="13">F89*$B89</f>
        <v>0</v>
      </c>
      <c r="G116">
        <f t="shared" si="13"/>
        <v>0</v>
      </c>
      <c r="H116">
        <f t="shared" ref="H116:H137" si="14">1-H89*$B89</f>
        <v>1</v>
      </c>
    </row>
    <row r="117" spans="3:8" x14ac:dyDescent="0.25">
      <c r="D117">
        <f t="shared" si="11"/>
        <v>0</v>
      </c>
      <c r="E117">
        <f t="shared" si="12"/>
        <v>0</v>
      </c>
      <c r="F117">
        <f t="shared" si="13"/>
        <v>0</v>
      </c>
      <c r="G117">
        <f t="shared" si="13"/>
        <v>0</v>
      </c>
      <c r="H117">
        <f t="shared" si="14"/>
        <v>1</v>
      </c>
    </row>
    <row r="118" spans="3:8" x14ac:dyDescent="0.25">
      <c r="D118">
        <f t="shared" si="11"/>
        <v>0</v>
      </c>
      <c r="E118">
        <f t="shared" si="12"/>
        <v>0</v>
      </c>
      <c r="F118">
        <f t="shared" si="13"/>
        <v>0</v>
      </c>
      <c r="G118">
        <f t="shared" si="13"/>
        <v>0</v>
      </c>
      <c r="H118">
        <f t="shared" si="14"/>
        <v>1</v>
      </c>
    </row>
    <row r="119" spans="3:8" x14ac:dyDescent="0.25">
      <c r="D119">
        <f t="shared" si="11"/>
        <v>0</v>
      </c>
      <c r="E119">
        <f t="shared" si="12"/>
        <v>0</v>
      </c>
      <c r="F119">
        <f t="shared" si="13"/>
        <v>0</v>
      </c>
      <c r="G119">
        <f t="shared" si="13"/>
        <v>0</v>
      </c>
      <c r="H119">
        <f t="shared" si="14"/>
        <v>1</v>
      </c>
    </row>
    <row r="120" spans="3:8" x14ac:dyDescent="0.25">
      <c r="D120">
        <f t="shared" si="11"/>
        <v>0</v>
      </c>
      <c r="E120">
        <f t="shared" si="12"/>
        <v>0</v>
      </c>
      <c r="F120">
        <f t="shared" si="13"/>
        <v>0</v>
      </c>
      <c r="G120">
        <f t="shared" si="13"/>
        <v>0</v>
      </c>
      <c r="H120">
        <f t="shared" si="14"/>
        <v>1</v>
      </c>
    </row>
    <row r="121" spans="3:8" x14ac:dyDescent="0.25">
      <c r="D121">
        <f t="shared" si="11"/>
        <v>0</v>
      </c>
      <c r="E121">
        <f t="shared" si="12"/>
        <v>0</v>
      </c>
      <c r="F121">
        <f t="shared" si="13"/>
        <v>0</v>
      </c>
      <c r="G121">
        <f t="shared" si="13"/>
        <v>0</v>
      </c>
      <c r="H121">
        <f t="shared" si="14"/>
        <v>1</v>
      </c>
    </row>
    <row r="122" spans="3:8" x14ac:dyDescent="0.25">
      <c r="D122">
        <f t="shared" si="11"/>
        <v>0</v>
      </c>
      <c r="E122">
        <f t="shared" si="12"/>
        <v>0</v>
      </c>
      <c r="F122">
        <f t="shared" si="13"/>
        <v>0</v>
      </c>
      <c r="G122">
        <f t="shared" si="13"/>
        <v>0</v>
      </c>
      <c r="H122">
        <f t="shared" si="14"/>
        <v>1</v>
      </c>
    </row>
    <row r="123" spans="3:8" x14ac:dyDescent="0.25">
      <c r="D123">
        <f t="shared" si="11"/>
        <v>0</v>
      </c>
      <c r="E123">
        <f t="shared" si="12"/>
        <v>0</v>
      </c>
      <c r="F123">
        <f t="shared" si="13"/>
        <v>0</v>
      </c>
      <c r="G123">
        <f t="shared" si="13"/>
        <v>0</v>
      </c>
      <c r="H123">
        <f t="shared" si="14"/>
        <v>1</v>
      </c>
    </row>
    <row r="124" spans="3:8" x14ac:dyDescent="0.25">
      <c r="D124">
        <f t="shared" si="11"/>
        <v>0</v>
      </c>
      <c r="E124">
        <f t="shared" si="12"/>
        <v>0</v>
      </c>
      <c r="F124">
        <f t="shared" si="13"/>
        <v>0</v>
      </c>
      <c r="G124">
        <f t="shared" si="13"/>
        <v>0</v>
      </c>
      <c r="H124">
        <f t="shared" si="14"/>
        <v>1</v>
      </c>
    </row>
    <row r="125" spans="3:8" x14ac:dyDescent="0.25">
      <c r="D125">
        <f t="shared" si="11"/>
        <v>0</v>
      </c>
      <c r="E125">
        <f t="shared" si="12"/>
        <v>0</v>
      </c>
      <c r="F125">
        <f t="shared" si="13"/>
        <v>0</v>
      </c>
      <c r="G125">
        <f t="shared" si="13"/>
        <v>0</v>
      </c>
      <c r="H125">
        <f t="shared" si="14"/>
        <v>1</v>
      </c>
    </row>
    <row r="126" spans="3:8" x14ac:dyDescent="0.25">
      <c r="D126">
        <f t="shared" si="11"/>
        <v>0</v>
      </c>
      <c r="E126">
        <f t="shared" si="12"/>
        <v>0</v>
      </c>
      <c r="F126">
        <f t="shared" si="13"/>
        <v>0</v>
      </c>
      <c r="G126">
        <f t="shared" si="13"/>
        <v>0</v>
      </c>
      <c r="H126">
        <f t="shared" si="14"/>
        <v>1</v>
      </c>
    </row>
    <row r="127" spans="3:8" x14ac:dyDescent="0.25">
      <c r="D127">
        <f t="shared" si="11"/>
        <v>0</v>
      </c>
      <c r="E127">
        <f t="shared" si="12"/>
        <v>0</v>
      </c>
      <c r="F127">
        <f t="shared" si="13"/>
        <v>0</v>
      </c>
      <c r="G127">
        <f t="shared" si="13"/>
        <v>0</v>
      </c>
      <c r="H127">
        <f t="shared" si="14"/>
        <v>1</v>
      </c>
    </row>
    <row r="128" spans="3:8" x14ac:dyDescent="0.25">
      <c r="D128">
        <f t="shared" si="11"/>
        <v>0</v>
      </c>
      <c r="E128">
        <f t="shared" si="12"/>
        <v>0</v>
      </c>
      <c r="F128">
        <f t="shared" si="13"/>
        <v>0</v>
      </c>
      <c r="G128">
        <f t="shared" si="13"/>
        <v>0</v>
      </c>
      <c r="H128">
        <f t="shared" si="14"/>
        <v>1</v>
      </c>
    </row>
    <row r="129" spans="3:8" x14ac:dyDescent="0.25">
      <c r="D129">
        <f t="shared" si="11"/>
        <v>0</v>
      </c>
      <c r="E129">
        <f t="shared" si="12"/>
        <v>0</v>
      </c>
      <c r="F129">
        <f t="shared" si="13"/>
        <v>0</v>
      </c>
      <c r="G129">
        <f t="shared" si="13"/>
        <v>0</v>
      </c>
      <c r="H129">
        <f t="shared" si="14"/>
        <v>1</v>
      </c>
    </row>
    <row r="130" spans="3:8" x14ac:dyDescent="0.25">
      <c r="D130">
        <f t="shared" si="11"/>
        <v>0</v>
      </c>
      <c r="E130">
        <f t="shared" si="12"/>
        <v>0</v>
      </c>
      <c r="F130">
        <f t="shared" si="13"/>
        <v>0</v>
      </c>
      <c r="G130">
        <f t="shared" si="13"/>
        <v>0</v>
      </c>
      <c r="H130">
        <f t="shared" si="14"/>
        <v>1</v>
      </c>
    </row>
    <row r="131" spans="3:8" x14ac:dyDescent="0.25">
      <c r="D131">
        <f t="shared" si="11"/>
        <v>0</v>
      </c>
      <c r="E131">
        <f t="shared" si="12"/>
        <v>0</v>
      </c>
      <c r="F131">
        <f t="shared" si="13"/>
        <v>0</v>
      </c>
      <c r="G131">
        <f t="shared" si="13"/>
        <v>0</v>
      </c>
      <c r="H131">
        <f t="shared" si="14"/>
        <v>1</v>
      </c>
    </row>
    <row r="132" spans="3:8" x14ac:dyDescent="0.25">
      <c r="D132">
        <f t="shared" si="11"/>
        <v>0</v>
      </c>
      <c r="E132">
        <f t="shared" si="12"/>
        <v>0</v>
      </c>
      <c r="F132">
        <f t="shared" si="13"/>
        <v>0</v>
      </c>
      <c r="G132">
        <f t="shared" si="13"/>
        <v>0</v>
      </c>
      <c r="H132">
        <f t="shared" si="14"/>
        <v>1</v>
      </c>
    </row>
    <row r="133" spans="3:8" x14ac:dyDescent="0.25">
      <c r="D133">
        <f t="shared" si="11"/>
        <v>0</v>
      </c>
      <c r="E133">
        <f t="shared" si="12"/>
        <v>0</v>
      </c>
      <c r="F133">
        <f t="shared" si="13"/>
        <v>0</v>
      </c>
      <c r="G133">
        <f t="shared" si="13"/>
        <v>0</v>
      </c>
      <c r="H133">
        <f t="shared" si="14"/>
        <v>1</v>
      </c>
    </row>
    <row r="134" spans="3:8" x14ac:dyDescent="0.25">
      <c r="D134">
        <f t="shared" si="11"/>
        <v>0</v>
      </c>
      <c r="E134">
        <f t="shared" si="12"/>
        <v>0</v>
      </c>
      <c r="F134">
        <f t="shared" si="13"/>
        <v>0</v>
      </c>
      <c r="G134">
        <f t="shared" si="13"/>
        <v>0</v>
      </c>
      <c r="H134">
        <f t="shared" si="14"/>
        <v>1</v>
      </c>
    </row>
    <row r="135" spans="3:8" x14ac:dyDescent="0.25">
      <c r="D135">
        <f t="shared" si="11"/>
        <v>0</v>
      </c>
      <c r="E135">
        <f t="shared" si="12"/>
        <v>0</v>
      </c>
      <c r="F135">
        <f t="shared" si="13"/>
        <v>0</v>
      </c>
      <c r="G135">
        <f t="shared" si="13"/>
        <v>0</v>
      </c>
      <c r="H135">
        <f t="shared" si="14"/>
        <v>1</v>
      </c>
    </row>
    <row r="136" spans="3:8" x14ac:dyDescent="0.25">
      <c r="D136">
        <f t="shared" si="11"/>
        <v>0</v>
      </c>
      <c r="E136">
        <f t="shared" si="12"/>
        <v>0</v>
      </c>
      <c r="F136">
        <f t="shared" si="13"/>
        <v>0</v>
      </c>
      <c r="G136">
        <f t="shared" si="13"/>
        <v>0</v>
      </c>
      <c r="H136">
        <f t="shared" si="14"/>
        <v>1</v>
      </c>
    </row>
    <row r="137" spans="3:8" x14ac:dyDescent="0.25">
      <c r="D137">
        <f t="shared" si="11"/>
        <v>0</v>
      </c>
      <c r="E137">
        <f t="shared" si="12"/>
        <v>0</v>
      </c>
      <c r="F137">
        <f t="shared" si="13"/>
        <v>0</v>
      </c>
      <c r="G137">
        <f t="shared" si="13"/>
        <v>0</v>
      </c>
      <c r="H137">
        <f t="shared" si="14"/>
        <v>1</v>
      </c>
    </row>
    <row r="138" spans="3:8" x14ac:dyDescent="0.25">
      <c r="C138" s="2" t="s">
        <v>73</v>
      </c>
      <c r="D138">
        <f>SUM(D115:D137)</f>
        <v>0</v>
      </c>
      <c r="E138">
        <f>SUM(E115:E137)</f>
        <v>0</v>
      </c>
      <c r="F138">
        <f>SUM(F115:F137)</f>
        <v>0</v>
      </c>
      <c r="G138">
        <f>SUM(G115:G137)</f>
        <v>0</v>
      </c>
      <c r="H138">
        <f>PRODUCT(H115:H137)</f>
        <v>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AH138"/>
  <sheetViews>
    <sheetView topLeftCell="A20" zoomScaleNormal="100" workbookViewId="0">
      <selection activeCell="B101" sqref="B101"/>
    </sheetView>
  </sheetViews>
  <sheetFormatPr defaultRowHeight="15" x14ac:dyDescent="0.25"/>
  <cols>
    <col min="3" max="3" width="19.5703125" customWidth="1"/>
  </cols>
  <sheetData>
    <row r="3" spans="2:31" x14ac:dyDescent="0.25">
      <c r="B3" t="s">
        <v>295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Q3" t="s">
        <v>236</v>
      </c>
      <c r="R3" t="s">
        <v>4</v>
      </c>
      <c r="U3" t="s">
        <v>5</v>
      </c>
      <c r="X3" t="s">
        <v>134</v>
      </c>
      <c r="Z3" t="s">
        <v>157</v>
      </c>
      <c r="AC3" t="s">
        <v>28</v>
      </c>
    </row>
    <row r="4" spans="2:31" x14ac:dyDescent="0.25">
      <c r="B4" t="s">
        <v>6</v>
      </c>
      <c r="C4">
        <v>18</v>
      </c>
      <c r="E4" t="s">
        <v>124</v>
      </c>
      <c r="F4">
        <v>17.000000000000004</v>
      </c>
      <c r="H4" t="s">
        <v>7</v>
      </c>
      <c r="I4">
        <v>616.28</v>
      </c>
      <c r="J4">
        <v>84.25</v>
      </c>
      <c r="L4" t="s">
        <v>7</v>
      </c>
      <c r="M4">
        <f>I4+J4*$F$4</f>
        <v>2048.5300000000002</v>
      </c>
      <c r="O4" t="s">
        <v>9</v>
      </c>
      <c r="P4">
        <f>L88+M8</f>
        <v>282.38</v>
      </c>
      <c r="Q4">
        <v>1</v>
      </c>
      <c r="R4" t="s">
        <v>10</v>
      </c>
      <c r="S4">
        <f>Q4*(4+10/18*C4)</f>
        <v>14</v>
      </c>
      <c r="U4" t="s">
        <v>10</v>
      </c>
      <c r="V4">
        <v>0</v>
      </c>
      <c r="X4">
        <v>1000</v>
      </c>
      <c r="Z4" t="s">
        <v>19</v>
      </c>
      <c r="AA4">
        <f>I9</f>
        <v>0.625</v>
      </c>
      <c r="AC4" t="s">
        <v>158</v>
      </c>
      <c r="AE4">
        <v>11.52</v>
      </c>
    </row>
    <row r="5" spans="2:31" x14ac:dyDescent="0.25">
      <c r="H5" t="s">
        <v>120</v>
      </c>
      <c r="I5">
        <v>7.84</v>
      </c>
      <c r="J5">
        <v>0.5</v>
      </c>
      <c r="L5" t="s">
        <v>120</v>
      </c>
      <c r="M5">
        <f t="shared" ref="M5:M12" si="0">I5+J5*$F$4</f>
        <v>16.340000000000003</v>
      </c>
      <c r="O5" t="s">
        <v>12</v>
      </c>
      <c r="P5">
        <f>M9+I9*M88</f>
        <v>0.9118750000000001</v>
      </c>
      <c r="R5" t="s">
        <v>13</v>
      </c>
      <c r="S5">
        <v>6.8</v>
      </c>
      <c r="U5" t="s">
        <v>13</v>
      </c>
      <c r="V5">
        <v>0</v>
      </c>
      <c r="Z5" t="s">
        <v>168</v>
      </c>
      <c r="AA5">
        <f>F4*J9</f>
        <v>0.45900000000000007</v>
      </c>
      <c r="AC5" t="s">
        <v>91</v>
      </c>
      <c r="AE5">
        <v>0.06</v>
      </c>
    </row>
    <row r="6" spans="2:31" x14ac:dyDescent="0.25">
      <c r="H6" t="s">
        <v>121</v>
      </c>
      <c r="L6" t="s">
        <v>121</v>
      </c>
      <c r="M6">
        <f t="shared" si="0"/>
        <v>0</v>
      </c>
      <c r="R6" t="s">
        <v>16</v>
      </c>
      <c r="S6">
        <f>L88</f>
        <v>148</v>
      </c>
      <c r="U6" t="s">
        <v>16</v>
      </c>
      <c r="V6">
        <v>0</v>
      </c>
      <c r="Z6" t="s">
        <v>10</v>
      </c>
      <c r="AA6">
        <v>0</v>
      </c>
      <c r="AC6" t="s">
        <v>393</v>
      </c>
      <c r="AE6">
        <f>G138</f>
        <v>0</v>
      </c>
    </row>
    <row r="7" spans="2:31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L7" t="s">
        <v>122</v>
      </c>
      <c r="M7">
        <f t="shared" si="0"/>
        <v>0</v>
      </c>
      <c r="O7" t="s">
        <v>7</v>
      </c>
      <c r="P7">
        <f>M4+L20</f>
        <v>2048.5300000000002</v>
      </c>
      <c r="R7" s="2"/>
      <c r="Z7" t="s">
        <v>158</v>
      </c>
      <c r="AA7">
        <v>0</v>
      </c>
      <c r="AC7" t="s">
        <v>394</v>
      </c>
      <c r="AE7">
        <f>H138</f>
        <v>0.7</v>
      </c>
    </row>
    <row r="8" spans="2:31" x14ac:dyDescent="0.25">
      <c r="B8" t="s">
        <v>25</v>
      </c>
      <c r="C8">
        <v>5</v>
      </c>
      <c r="D8">
        <f>5+25*C8</f>
        <v>130</v>
      </c>
      <c r="E8">
        <f>0.4*S10</f>
        <v>121.27200000000003</v>
      </c>
      <c r="F8">
        <f>E8+D8</f>
        <v>251.27200000000005</v>
      </c>
      <c r="H8" t="s">
        <v>8</v>
      </c>
      <c r="I8">
        <v>57.88</v>
      </c>
      <c r="J8">
        <v>4.5</v>
      </c>
      <c r="L8" t="s">
        <v>8</v>
      </c>
      <c r="M8">
        <f t="shared" si="0"/>
        <v>134.38000000000002</v>
      </c>
      <c r="O8" t="s">
        <v>120</v>
      </c>
      <c r="P8">
        <f>(M5+M5*M20+N20+V18*0.01)*(1+0.2*B29)</f>
        <v>37.799859000000005</v>
      </c>
      <c r="R8" t="s">
        <v>26</v>
      </c>
      <c r="S8">
        <f>SUM(S4:S7)</f>
        <v>168.8</v>
      </c>
      <c r="U8" t="s">
        <v>26</v>
      </c>
      <c r="V8">
        <f>SUM(V4:V7)</f>
        <v>0</v>
      </c>
      <c r="Z8" t="s">
        <v>159</v>
      </c>
      <c r="AA8">
        <f>M88</f>
        <v>0</v>
      </c>
    </row>
    <row r="9" spans="2:31" x14ac:dyDescent="0.25">
      <c r="H9" t="s">
        <v>14</v>
      </c>
      <c r="I9">
        <v>0.625</v>
      </c>
      <c r="J9">
        <v>2.7E-2</v>
      </c>
      <c r="L9" t="s">
        <v>14</v>
      </c>
      <c r="M9">
        <f>I9+I9*J9*$F$4</f>
        <v>0.9118750000000001</v>
      </c>
      <c r="O9" t="s">
        <v>15</v>
      </c>
      <c r="P9">
        <f>M10+J20</f>
        <v>78.536000000000016</v>
      </c>
    </row>
    <row r="10" spans="2:31" x14ac:dyDescent="0.25">
      <c r="H10" t="s">
        <v>15</v>
      </c>
      <c r="I10">
        <v>27.536000000000001</v>
      </c>
      <c r="J10">
        <v>3</v>
      </c>
      <c r="L10" t="s">
        <v>15</v>
      </c>
      <c r="M10">
        <f t="shared" si="0"/>
        <v>78.536000000000016</v>
      </c>
      <c r="O10" t="s">
        <v>23</v>
      </c>
      <c r="P10">
        <f>M11+K20</f>
        <v>53.350000000000009</v>
      </c>
      <c r="R10" t="s">
        <v>31</v>
      </c>
      <c r="S10">
        <f>S6+S4+S5+M8</f>
        <v>303.18000000000006</v>
      </c>
      <c r="U10" t="s">
        <v>32</v>
      </c>
      <c r="V10">
        <v>0</v>
      </c>
      <c r="Z10" t="s">
        <v>160</v>
      </c>
      <c r="AA10">
        <f>(1+SUM(AA5:AA8))*AA4</f>
        <v>0.91187499999999999</v>
      </c>
      <c r="AC10" t="s">
        <v>395</v>
      </c>
      <c r="AE10">
        <f>(1-AE5)*AE7</f>
        <v>0.65799999999999992</v>
      </c>
    </row>
    <row r="11" spans="2:31" x14ac:dyDescent="0.25">
      <c r="B11" t="s">
        <v>29</v>
      </c>
      <c r="C11">
        <v>5</v>
      </c>
      <c r="H11" t="s">
        <v>23</v>
      </c>
      <c r="I11">
        <v>32.1</v>
      </c>
      <c r="J11">
        <v>1.25</v>
      </c>
      <c r="L11" t="s">
        <v>23</v>
      </c>
      <c r="M11">
        <f t="shared" si="0"/>
        <v>53.350000000000009</v>
      </c>
      <c r="O11" t="s">
        <v>91</v>
      </c>
      <c r="AC11" t="s">
        <v>396</v>
      </c>
      <c r="AE11">
        <f>AE6+AE4</f>
        <v>11.52</v>
      </c>
    </row>
    <row r="12" spans="2:31" x14ac:dyDescent="0.25">
      <c r="H12" t="s">
        <v>123</v>
      </c>
      <c r="I12">
        <v>345</v>
      </c>
      <c r="L12" t="s">
        <v>123</v>
      </c>
      <c r="M12">
        <f t="shared" si="0"/>
        <v>345</v>
      </c>
      <c r="O12" t="s">
        <v>277</v>
      </c>
      <c r="P12">
        <v>0</v>
      </c>
      <c r="R12" t="s">
        <v>86</v>
      </c>
      <c r="U12" t="s">
        <v>88</v>
      </c>
      <c r="X12" t="s">
        <v>95</v>
      </c>
    </row>
    <row r="13" spans="2:31" x14ac:dyDescent="0.25">
      <c r="O13" t="s">
        <v>92</v>
      </c>
      <c r="P13">
        <v>0</v>
      </c>
      <c r="R13" t="s">
        <v>2</v>
      </c>
      <c r="S13">
        <f>M10</f>
        <v>78.536000000000016</v>
      </c>
      <c r="U13" t="s">
        <v>2</v>
      </c>
      <c r="V13">
        <f>M4</f>
        <v>2048.5300000000002</v>
      </c>
      <c r="X13" t="s">
        <v>2</v>
      </c>
      <c r="Y13">
        <f>M11</f>
        <v>53.350000000000009</v>
      </c>
    </row>
    <row r="14" spans="2:31" x14ac:dyDescent="0.25">
      <c r="B14" t="s">
        <v>33</v>
      </c>
      <c r="C14">
        <v>5</v>
      </c>
      <c r="D14">
        <f>(10+4*C14)*C15</f>
        <v>300</v>
      </c>
      <c r="E14">
        <f>(0.33+0.01*C14)*S10*(1+F138*(0.5+0.5*B88))*C15</f>
        <v>1152.0840000000003</v>
      </c>
      <c r="F14">
        <f>E14+D14</f>
        <v>1452.0840000000003</v>
      </c>
      <c r="O14" t="s">
        <v>93</v>
      </c>
      <c r="P14">
        <v>1</v>
      </c>
      <c r="R14" t="s">
        <v>10</v>
      </c>
      <c r="S14">
        <f>P12+2*P15</f>
        <v>0</v>
      </c>
      <c r="U14" t="s">
        <v>16</v>
      </c>
      <c r="V14">
        <f>L20</f>
        <v>0</v>
      </c>
      <c r="X14" t="s">
        <v>10</v>
      </c>
      <c r="Y14">
        <v>5</v>
      </c>
    </row>
    <row r="15" spans="2:31" x14ac:dyDescent="0.25">
      <c r="C15">
        <f>FLOOR((C4-1)/3,1)+5</f>
        <v>10</v>
      </c>
      <c r="O15" t="s">
        <v>94</v>
      </c>
      <c r="P15">
        <v>0</v>
      </c>
      <c r="R15" t="s">
        <v>13</v>
      </c>
      <c r="S15">
        <f>P16+3*P17/18*C4</f>
        <v>9</v>
      </c>
      <c r="U15" t="s">
        <v>158</v>
      </c>
      <c r="V15">
        <f>(24*P18/18*C4)</f>
        <v>0</v>
      </c>
      <c r="X15" t="s">
        <v>13</v>
      </c>
      <c r="Y15">
        <v>12</v>
      </c>
    </row>
    <row r="16" spans="2:31" x14ac:dyDescent="0.25">
      <c r="B16" t="s">
        <v>34</v>
      </c>
      <c r="C16">
        <v>3</v>
      </c>
      <c r="D16">
        <f>175*C16</f>
        <v>525</v>
      </c>
      <c r="E16">
        <f>(1/(4-0.5*C16))*E17</f>
        <v>1000</v>
      </c>
      <c r="F16">
        <f>E16+D16</f>
        <v>1525</v>
      </c>
      <c r="G16" t="s">
        <v>0</v>
      </c>
      <c r="N16" t="s">
        <v>158</v>
      </c>
      <c r="O16" t="s">
        <v>216</v>
      </c>
      <c r="P16">
        <v>9</v>
      </c>
      <c r="R16" t="s">
        <v>16</v>
      </c>
      <c r="S16">
        <f>J20</f>
        <v>0</v>
      </c>
      <c r="U16" t="s">
        <v>10</v>
      </c>
      <c r="V16">
        <f>36+0.03*(V13+V14+V15)*P14</f>
        <v>97.455900000000014</v>
      </c>
      <c r="X16" t="s">
        <v>16</v>
      </c>
      <c r="Y16">
        <f>K20</f>
        <v>0</v>
      </c>
    </row>
    <row r="17" spans="1:34" x14ac:dyDescent="0.25">
      <c r="D17" t="s">
        <v>296</v>
      </c>
      <c r="E17">
        <v>2500</v>
      </c>
      <c r="O17" t="s">
        <v>217</v>
      </c>
      <c r="P17">
        <v>0</v>
      </c>
      <c r="R17" s="2"/>
      <c r="S17" s="2"/>
      <c r="X17" s="2"/>
    </row>
    <row r="18" spans="1:34" x14ac:dyDescent="0.25">
      <c r="J18" s="2" t="s">
        <v>40</v>
      </c>
      <c r="O18" t="s">
        <v>357</v>
      </c>
      <c r="P18">
        <v>0</v>
      </c>
      <c r="R18" t="s">
        <v>10</v>
      </c>
      <c r="S18">
        <f>P13*0.025*SUM(S14:S17)</f>
        <v>0</v>
      </c>
      <c r="U18" t="s">
        <v>89</v>
      </c>
      <c r="V18">
        <f>SUM(V13:V16)</f>
        <v>2145.9859000000001</v>
      </c>
      <c r="X18" t="s">
        <v>10</v>
      </c>
      <c r="Y18">
        <f>P13*0.025*SUM(Y14:Y17)</f>
        <v>0</v>
      </c>
    </row>
    <row r="19" spans="1:34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  <c r="R19" s="2" t="s">
        <v>293</v>
      </c>
      <c r="S19" s="2">
        <v>15</v>
      </c>
      <c r="X19" s="2" t="s">
        <v>293</v>
      </c>
      <c r="Y19" s="2">
        <v>15</v>
      </c>
    </row>
    <row r="20" spans="1:34" x14ac:dyDescent="0.25">
      <c r="C20" t="s">
        <v>74</v>
      </c>
      <c r="F20">
        <v>1000</v>
      </c>
      <c r="J20">
        <f>D83</f>
        <v>0</v>
      </c>
      <c r="K20">
        <f>E83</f>
        <v>0</v>
      </c>
      <c r="L20">
        <f>F83*(1+0.25*B37)</f>
        <v>0</v>
      </c>
      <c r="M20">
        <f>G83</f>
        <v>0</v>
      </c>
      <c r="N20">
        <f>H83</f>
        <v>0</v>
      </c>
      <c r="R20" t="s">
        <v>90</v>
      </c>
      <c r="S20">
        <f>SUM(S13:S19)</f>
        <v>102.53600000000002</v>
      </c>
      <c r="X20" t="s">
        <v>96</v>
      </c>
      <c r="Y20">
        <f>SUM(Y13:Y19)</f>
        <v>85.350000000000009</v>
      </c>
      <c r="AD20" t="s">
        <v>301</v>
      </c>
    </row>
    <row r="21" spans="1:34" x14ac:dyDescent="0.25">
      <c r="C21" t="s">
        <v>117</v>
      </c>
      <c r="F21">
        <v>800</v>
      </c>
      <c r="H21">
        <f>V18*0.03</f>
        <v>64.379576999999998</v>
      </c>
    </row>
    <row r="22" spans="1:34" x14ac:dyDescent="0.25">
      <c r="C22" t="s">
        <v>75</v>
      </c>
      <c r="F22">
        <v>700</v>
      </c>
      <c r="R22" t="s">
        <v>98</v>
      </c>
      <c r="S22" t="s">
        <v>99</v>
      </c>
      <c r="U22" t="s">
        <v>100</v>
      </c>
      <c r="V22" t="s">
        <v>101</v>
      </c>
      <c r="W22">
        <v>4.1900000000000004</v>
      </c>
      <c r="X22">
        <v>5.3</v>
      </c>
      <c r="Y22" t="s">
        <v>118</v>
      </c>
      <c r="AB22" t="s">
        <v>298</v>
      </c>
      <c r="AD22" t="s">
        <v>299</v>
      </c>
      <c r="AF22" t="s">
        <v>300</v>
      </c>
      <c r="AH22" t="s">
        <v>302</v>
      </c>
    </row>
    <row r="23" spans="1:34" x14ac:dyDescent="0.25">
      <c r="C23" t="s">
        <v>80</v>
      </c>
      <c r="F23">
        <v>650</v>
      </c>
      <c r="P23" s="2" t="s">
        <v>97</v>
      </c>
      <c r="R23">
        <v>0</v>
      </c>
      <c r="S23">
        <v>0.06</v>
      </c>
      <c r="U23">
        <f>$S$20*(1-S23)-R23</f>
        <v>96.383840000000006</v>
      </c>
      <c r="V23">
        <f>$V$18*(100+U23)/100</f>
        <v>4214.3695162785607</v>
      </c>
      <c r="W23">
        <v>20715.592674699998</v>
      </c>
      <c r="X23">
        <v>16960</v>
      </c>
      <c r="Y23">
        <f>($V$18+$B$30*(50+10*$C$4))*(100+U23)/100</f>
        <v>4214.3695162785607</v>
      </c>
      <c r="Z23">
        <f>Y23/W23</f>
        <v>0.20343948553427488</v>
      </c>
      <c r="AB23">
        <f>Y23/0.7</f>
        <v>6020.5278803979445</v>
      </c>
      <c r="AD23">
        <f>0.7*U23-30</f>
        <v>37.468688</v>
      </c>
      <c r="AF23">
        <f>100/70*(100+U23)-100</f>
        <v>180.54834285714287</v>
      </c>
      <c r="AH23">
        <f>AF23-U23</f>
        <v>84.164502857142864</v>
      </c>
    </row>
    <row r="24" spans="1:34" x14ac:dyDescent="0.25">
      <c r="A24">
        <v>1</v>
      </c>
      <c r="C24" t="s">
        <v>76</v>
      </c>
      <c r="D24">
        <v>70</v>
      </c>
      <c r="F24">
        <v>500</v>
      </c>
      <c r="J24" s="2"/>
      <c r="K24" s="2" t="s">
        <v>42</v>
      </c>
      <c r="R24">
        <v>0</v>
      </c>
      <c r="S24">
        <v>0.38900000000000001</v>
      </c>
      <c r="U24">
        <f>$S$20*(1-S24)-R24</f>
        <v>62.649496000000006</v>
      </c>
      <c r="V24">
        <f>$V$18*(100+U24)/100</f>
        <v>3490.4352505810639</v>
      </c>
      <c r="Y24">
        <f>($V$18+$B$30*(50+10*$C$4))*(100+U24)/100</f>
        <v>3490.4352505810639</v>
      </c>
      <c r="AB24">
        <f>Y24/0.7</f>
        <v>4986.3360722586631</v>
      </c>
      <c r="AD24">
        <f>0.7*U24-30</f>
        <v>13.854647200000002</v>
      </c>
      <c r="AF24">
        <f>100/70*(100+U24)-100</f>
        <v>132.35642285714286</v>
      </c>
      <c r="AH24">
        <f>AF24-U24</f>
        <v>69.706926857142861</v>
      </c>
    </row>
    <row r="25" spans="1:34" x14ac:dyDescent="0.25">
      <c r="C25" t="s">
        <v>83</v>
      </c>
      <c r="F25">
        <v>500</v>
      </c>
      <c r="G25">
        <v>1</v>
      </c>
      <c r="K25" t="s">
        <v>346</v>
      </c>
      <c r="M25">
        <f>M95</f>
        <v>303.18000000000006</v>
      </c>
      <c r="R25">
        <v>20</v>
      </c>
      <c r="S25">
        <v>0.06</v>
      </c>
      <c r="U25">
        <f>$S$20*(1-S25)-R25</f>
        <v>76.383840000000006</v>
      </c>
      <c r="V25">
        <f>$V$18*(100+U25)/100</f>
        <v>3785.1723362785606</v>
      </c>
      <c r="Y25">
        <f>($V$18+$B$30*(50+10*$C$4))*(100+U25)/100</f>
        <v>3785.1723362785606</v>
      </c>
      <c r="AB25">
        <f>Y25/0.7</f>
        <v>5407.3890518265152</v>
      </c>
      <c r="AD25">
        <f>0.7*U25-30</f>
        <v>23.468688</v>
      </c>
      <c r="AF25">
        <f>100/70*(100+U25)-100</f>
        <v>151.97691428571432</v>
      </c>
      <c r="AH25">
        <f>AF25-U25</f>
        <v>75.593074285714309</v>
      </c>
    </row>
    <row r="26" spans="1:34" x14ac:dyDescent="0.25">
      <c r="C26" t="s">
        <v>229</v>
      </c>
      <c r="F26">
        <v>500</v>
      </c>
      <c r="K26" t="s">
        <v>25</v>
      </c>
      <c r="M26">
        <f>F8</f>
        <v>251.27200000000005</v>
      </c>
      <c r="R26">
        <v>20</v>
      </c>
      <c r="S26">
        <v>0.38900000000000001</v>
      </c>
      <c r="U26">
        <f>$S$20*(1-S26)-R26</f>
        <v>42.649496000000006</v>
      </c>
      <c r="V26">
        <f>$V$18*(100+U26)/100</f>
        <v>3061.2380705810642</v>
      </c>
      <c r="Y26">
        <f>($V$18+$B$30*(50+10*$C$4))*(100+U26)/100</f>
        <v>3061.2380705810642</v>
      </c>
      <c r="AB26">
        <f>Y26/0.7</f>
        <v>4373.1972436872347</v>
      </c>
      <c r="AD26">
        <f>0.7*U26-30</f>
        <v>-0.14535279999999773</v>
      </c>
      <c r="AF26">
        <f>100/70*(100+U26)-100</f>
        <v>103.78499428571428</v>
      </c>
      <c r="AH26">
        <f>AF26-U26</f>
        <v>61.13549828571427</v>
      </c>
    </row>
    <row r="27" spans="1:34" x14ac:dyDescent="0.25">
      <c r="A27">
        <v>1</v>
      </c>
      <c r="C27" t="s">
        <v>77</v>
      </c>
      <c r="D27">
        <v>45</v>
      </c>
      <c r="F27">
        <v>450</v>
      </c>
      <c r="K27" t="s">
        <v>33</v>
      </c>
      <c r="M27">
        <f>F14</f>
        <v>1452.0840000000003</v>
      </c>
      <c r="R27">
        <v>10</v>
      </c>
      <c r="S27">
        <f>1-(1*0.94*0.65*0.75)</f>
        <v>0.54174999999999995</v>
      </c>
      <c r="U27">
        <f>$S$20*(1-S27)-R27</f>
        <v>36.987122000000014</v>
      </c>
      <c r="V27">
        <f>$V$18*(100+U27)/100</f>
        <v>2939.7243229357978</v>
      </c>
      <c r="W27">
        <v>12376.585678916252</v>
      </c>
      <c r="Y27">
        <f>($V$18+$B$30*(50+10*$C$4))*(100+U27)/100</f>
        <v>2939.7243229357978</v>
      </c>
      <c r="Z27">
        <f>Y27/W27</f>
        <v>0.23752304546670525</v>
      </c>
      <c r="AB27">
        <f>Y27/0.7</f>
        <v>4199.6061756225681</v>
      </c>
      <c r="AD27">
        <f>0.7*U27-30</f>
        <v>-4.1090145999999912</v>
      </c>
      <c r="AF27">
        <f>100/70*(100+U27)-100</f>
        <v>95.695888571428583</v>
      </c>
      <c r="AH27">
        <f>AF27-U27</f>
        <v>58.708766571428569</v>
      </c>
    </row>
    <row r="28" spans="1:34" x14ac:dyDescent="0.25">
      <c r="A28">
        <v>1</v>
      </c>
      <c r="C28" t="s">
        <v>78</v>
      </c>
      <c r="E28">
        <v>55</v>
      </c>
      <c r="F28">
        <v>450</v>
      </c>
      <c r="G28">
        <v>1</v>
      </c>
      <c r="K28" s="3" t="s">
        <v>323</v>
      </c>
      <c r="M28">
        <f>2*M8*B99</f>
        <v>0</v>
      </c>
    </row>
    <row r="29" spans="1:34" x14ac:dyDescent="0.25">
      <c r="A29">
        <v>1</v>
      </c>
      <c r="C29" t="s">
        <v>79</v>
      </c>
      <c r="E29">
        <v>55</v>
      </c>
      <c r="F29">
        <v>400</v>
      </c>
      <c r="G29">
        <v>1</v>
      </c>
      <c r="K29" s="3" t="s">
        <v>356</v>
      </c>
      <c r="M29">
        <f>M95*B107</f>
        <v>0</v>
      </c>
    </row>
    <row r="30" spans="1:34" x14ac:dyDescent="0.25">
      <c r="A30">
        <v>1</v>
      </c>
      <c r="C30" t="s">
        <v>81</v>
      </c>
      <c r="E30">
        <v>40</v>
      </c>
      <c r="F30">
        <v>400</v>
      </c>
      <c r="G30">
        <v>0.75</v>
      </c>
      <c r="K30" t="s">
        <v>347</v>
      </c>
      <c r="M30">
        <f>2*M25+M26+M27</f>
        <v>2309.7160000000003</v>
      </c>
    </row>
    <row r="31" spans="1:34" x14ac:dyDescent="0.25">
      <c r="C31" t="s">
        <v>82</v>
      </c>
      <c r="F31">
        <v>400</v>
      </c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  <c r="X31">
        <v>5.3</v>
      </c>
      <c r="AD31" t="s">
        <v>299</v>
      </c>
      <c r="AF31" t="s">
        <v>300</v>
      </c>
      <c r="AH31" t="s">
        <v>302</v>
      </c>
    </row>
    <row r="32" spans="1:34" x14ac:dyDescent="0.25">
      <c r="C32" t="s">
        <v>84</v>
      </c>
      <c r="F32">
        <v>380</v>
      </c>
      <c r="K32" s="2" t="s">
        <v>348</v>
      </c>
      <c r="M32">
        <v>1</v>
      </c>
      <c r="R32">
        <v>0</v>
      </c>
      <c r="S32">
        <v>0.06</v>
      </c>
      <c r="U32">
        <f t="shared" ref="U32:U37" si="1">$Y$20*(1-S32)-R32</f>
        <v>80.228999999999999</v>
      </c>
      <c r="V32">
        <f t="shared" ref="V32:V37" si="2">$V$18*(100+U32)/100</f>
        <v>3867.6889277109999</v>
      </c>
      <c r="W32">
        <v>11332.5147474</v>
      </c>
      <c r="X32">
        <v>14352</v>
      </c>
      <c r="Y32">
        <f t="shared" ref="Y32:Y37" si="3">($V$18+$B$30*(50+10*$C$4))*(100+U32)/100</f>
        <v>3867.6889277109999</v>
      </c>
      <c r="Z32">
        <f>Y32/W32</f>
        <v>0.34129132093989617</v>
      </c>
      <c r="AB32">
        <f t="shared" ref="AB32:AB37" si="4">Y32/0.7</f>
        <v>5525.2698967300003</v>
      </c>
      <c r="AD32">
        <f t="shared" ref="AD32:AD37" si="5">0.7*U32-30</f>
        <v>26.160299999999992</v>
      </c>
      <c r="AF32">
        <f t="shared" ref="AF32:AF37" si="6">100/70*(100+U32)-100</f>
        <v>157.46999999999997</v>
      </c>
      <c r="AH32">
        <f t="shared" ref="AH32:AH37" si="7">AF32-U32</f>
        <v>77.240999999999971</v>
      </c>
    </row>
    <row r="33" spans="1:34" x14ac:dyDescent="0.25">
      <c r="C33" t="s">
        <v>278</v>
      </c>
      <c r="D33">
        <v>50</v>
      </c>
      <c r="F33">
        <v>300</v>
      </c>
      <c r="G33">
        <v>1</v>
      </c>
      <c r="K33" t="s">
        <v>349</v>
      </c>
      <c r="M33">
        <v>0.06</v>
      </c>
      <c r="R33">
        <v>0</v>
      </c>
      <c r="S33">
        <v>0.38900000000000001</v>
      </c>
      <c r="U33">
        <f t="shared" si="1"/>
        <v>52.148850000000003</v>
      </c>
      <c r="V33">
        <f t="shared" si="2"/>
        <v>3265.0928680121501</v>
      </c>
      <c r="Y33">
        <f t="shared" si="3"/>
        <v>3265.0928680121501</v>
      </c>
      <c r="AB33">
        <f t="shared" si="4"/>
        <v>4664.4183828745008</v>
      </c>
      <c r="AD33">
        <f t="shared" si="5"/>
        <v>6.5041950000000028</v>
      </c>
      <c r="AF33">
        <f t="shared" si="6"/>
        <v>117.35550000000001</v>
      </c>
      <c r="AH33">
        <f t="shared" si="7"/>
        <v>65.206649999999996</v>
      </c>
    </row>
    <row r="34" spans="1:34" x14ac:dyDescent="0.25">
      <c r="C34" t="s">
        <v>59</v>
      </c>
      <c r="F34">
        <v>250</v>
      </c>
      <c r="K34" t="s">
        <v>350</v>
      </c>
      <c r="M34">
        <f>0.3*B103</f>
        <v>0.3</v>
      </c>
      <c r="R34">
        <v>15</v>
      </c>
      <c r="S34">
        <v>0.06</v>
      </c>
      <c r="U34">
        <f t="shared" si="1"/>
        <v>65.228999999999999</v>
      </c>
      <c r="V34">
        <f t="shared" si="2"/>
        <v>3545.7910427109996</v>
      </c>
      <c r="Y34">
        <f t="shared" si="3"/>
        <v>3545.7910427109996</v>
      </c>
      <c r="AB34">
        <f t="shared" si="4"/>
        <v>5065.4157753014279</v>
      </c>
      <c r="AD34">
        <f t="shared" si="5"/>
        <v>15.660299999999999</v>
      </c>
      <c r="AF34">
        <f t="shared" si="6"/>
        <v>136.04142857142855</v>
      </c>
      <c r="AH34">
        <f t="shared" si="7"/>
        <v>70.812428571428555</v>
      </c>
    </row>
    <row r="35" spans="1:34" x14ac:dyDescent="0.25">
      <c r="C35" t="s">
        <v>240</v>
      </c>
      <c r="E35">
        <v>40</v>
      </c>
      <c r="F35">
        <v>200</v>
      </c>
      <c r="K35" t="s">
        <v>351</v>
      </c>
      <c r="M35">
        <f>0.35*B91</f>
        <v>0</v>
      </c>
      <c r="R35">
        <v>15</v>
      </c>
      <c r="S35">
        <v>0.38900000000000001</v>
      </c>
      <c r="U35">
        <f t="shared" si="1"/>
        <v>37.148850000000003</v>
      </c>
      <c r="V35">
        <f t="shared" si="2"/>
        <v>2943.1949830121507</v>
      </c>
      <c r="Y35">
        <f t="shared" si="3"/>
        <v>2943.1949830121507</v>
      </c>
      <c r="AB35">
        <f t="shared" si="4"/>
        <v>4204.5642614459302</v>
      </c>
      <c r="AD35">
        <f t="shared" si="5"/>
        <v>-3.9958050000000007</v>
      </c>
      <c r="AF35">
        <f t="shared" si="6"/>
        <v>95.92692857142859</v>
      </c>
      <c r="AH35">
        <f t="shared" si="7"/>
        <v>58.778078571428587</v>
      </c>
    </row>
    <row r="36" spans="1:34" x14ac:dyDescent="0.25">
      <c r="C36" t="s">
        <v>107</v>
      </c>
      <c r="F36">
        <v>150</v>
      </c>
      <c r="K36" t="s">
        <v>352</v>
      </c>
      <c r="M36">
        <f>(1-M33)*(1-M34)*(1-M35)</f>
        <v>0.65799999999999992</v>
      </c>
      <c r="O36">
        <v>300</v>
      </c>
      <c r="P36">
        <v>200</v>
      </c>
      <c r="Q36">
        <v>100</v>
      </c>
      <c r="R36">
        <v>30</v>
      </c>
      <c r="S36">
        <v>0.06</v>
      </c>
      <c r="U36">
        <f t="shared" si="1"/>
        <v>50.228999999999999</v>
      </c>
      <c r="V36">
        <f t="shared" si="2"/>
        <v>3223.8931577109997</v>
      </c>
      <c r="Y36">
        <f t="shared" si="3"/>
        <v>3223.8931577109997</v>
      </c>
      <c r="AB36">
        <f t="shared" si="4"/>
        <v>4605.5616538728573</v>
      </c>
      <c r="AD36">
        <f t="shared" si="5"/>
        <v>5.1602999999999994</v>
      </c>
      <c r="AF36">
        <f t="shared" si="6"/>
        <v>114.61285714285714</v>
      </c>
      <c r="AH36">
        <f t="shared" si="7"/>
        <v>64.383857142857138</v>
      </c>
    </row>
    <row r="37" spans="1:34" x14ac:dyDescent="0.25">
      <c r="C37" t="s">
        <v>85</v>
      </c>
      <c r="F37">
        <v>300</v>
      </c>
      <c r="I37">
        <f>(V14+V16+V15)*0.25</f>
        <v>24.363975000000003</v>
      </c>
      <c r="K37" t="s">
        <v>354</v>
      </c>
      <c r="M37">
        <v>11.52</v>
      </c>
      <c r="N37" s="1" t="s">
        <v>410</v>
      </c>
      <c r="O37">
        <v>526.70000000000005</v>
      </c>
      <c r="P37">
        <v>684.1</v>
      </c>
      <c r="Q37">
        <v>975.9</v>
      </c>
      <c r="R37">
        <v>30</v>
      </c>
      <c r="S37">
        <v>0.38900000000000001</v>
      </c>
      <c r="U37">
        <f t="shared" si="1"/>
        <v>22.148850000000003</v>
      </c>
      <c r="V37">
        <f t="shared" si="2"/>
        <v>2621.2970980121504</v>
      </c>
      <c r="W37">
        <v>7642.2235858100003</v>
      </c>
      <c r="Y37">
        <f t="shared" si="3"/>
        <v>2621.2970980121504</v>
      </c>
      <c r="Z37">
        <f>Y37/W37</f>
        <v>0.34300188532554154</v>
      </c>
      <c r="AB37">
        <f t="shared" si="4"/>
        <v>3744.7101400173578</v>
      </c>
      <c r="AD37">
        <f t="shared" si="5"/>
        <v>-14.495804999999999</v>
      </c>
      <c r="AF37">
        <f t="shared" si="6"/>
        <v>74.498357142857174</v>
      </c>
      <c r="AH37">
        <f t="shared" si="7"/>
        <v>52.349507142857171</v>
      </c>
    </row>
    <row r="38" spans="1:34" x14ac:dyDescent="0.25">
      <c r="C38" t="s">
        <v>115</v>
      </c>
      <c r="F38">
        <v>80</v>
      </c>
      <c r="H38">
        <v>6</v>
      </c>
      <c r="K38" t="s">
        <v>355</v>
      </c>
      <c r="M38">
        <f>20*B97+10*B102</f>
        <v>0</v>
      </c>
      <c r="N38" s="1" t="s">
        <v>411</v>
      </c>
      <c r="O38">
        <v>522.54999999999995</v>
      </c>
      <c r="P38">
        <v>671</v>
      </c>
      <c r="Q38">
        <v>937.3</v>
      </c>
    </row>
    <row r="39" spans="1:34" x14ac:dyDescent="0.25">
      <c r="C39" t="s">
        <v>106</v>
      </c>
      <c r="D39">
        <v>100</v>
      </c>
      <c r="K39" s="2" t="s">
        <v>353</v>
      </c>
      <c r="M39">
        <f>M30*100/(100+M44*M36-IF(M44*M36&gt;M37,M37,M44*M36))</f>
        <v>1497.0935960591135</v>
      </c>
      <c r="O39">
        <f>O37/O38</f>
        <v>1.0079418237489237</v>
      </c>
      <c r="P39">
        <f>P37/P38</f>
        <v>1.0195230998509688</v>
      </c>
      <c r="Q39">
        <f>Q37/Q38</f>
        <v>1.0411821188520218</v>
      </c>
      <c r="X39">
        <v>15700</v>
      </c>
      <c r="AA39" t="s">
        <v>285</v>
      </c>
    </row>
    <row r="40" spans="1:34" x14ac:dyDescent="0.25">
      <c r="C40" t="s">
        <v>105</v>
      </c>
      <c r="D40">
        <v>100</v>
      </c>
      <c r="X40">
        <v>14750</v>
      </c>
    </row>
    <row r="41" spans="1:34" x14ac:dyDescent="0.25">
      <c r="C41" t="s">
        <v>113</v>
      </c>
      <c r="D41">
        <v>50</v>
      </c>
      <c r="L41" t="s">
        <v>220</v>
      </c>
      <c r="M41">
        <v>2000</v>
      </c>
      <c r="Q41" t="s">
        <v>226</v>
      </c>
      <c r="R41">
        <v>10</v>
      </c>
    </row>
    <row r="42" spans="1:34" x14ac:dyDescent="0.25">
      <c r="C42" t="s">
        <v>297</v>
      </c>
      <c r="D42">
        <v>40</v>
      </c>
      <c r="G42">
        <v>1</v>
      </c>
      <c r="L42" t="s">
        <v>221</v>
      </c>
      <c r="M42">
        <v>2200</v>
      </c>
      <c r="Q42" t="s">
        <v>227</v>
      </c>
      <c r="R42">
        <f>5+1.67/18*B2*9</f>
        <v>5</v>
      </c>
      <c r="U42" t="s">
        <v>149</v>
      </c>
    </row>
    <row r="43" spans="1:34" x14ac:dyDescent="0.25">
      <c r="C43" t="s">
        <v>108</v>
      </c>
      <c r="D43">
        <v>40</v>
      </c>
      <c r="L43" t="s">
        <v>89</v>
      </c>
      <c r="M43">
        <v>4400</v>
      </c>
      <c r="Q43" t="s">
        <v>228</v>
      </c>
      <c r="R43">
        <v>35</v>
      </c>
      <c r="T43" t="s">
        <v>388</v>
      </c>
      <c r="U43">
        <v>7</v>
      </c>
      <c r="V43">
        <f>(36+625.64+98*U43)*1.03</f>
        <v>1388.0691999999999</v>
      </c>
    </row>
    <row r="44" spans="1:34" x14ac:dyDescent="0.25">
      <c r="A44">
        <v>1</v>
      </c>
      <c r="C44" t="s">
        <v>109</v>
      </c>
      <c r="D44">
        <v>25</v>
      </c>
      <c r="L44" t="s">
        <v>277</v>
      </c>
      <c r="M44">
        <v>100</v>
      </c>
      <c r="T44" t="s">
        <v>386</v>
      </c>
      <c r="U44">
        <f>MAX(1.5*U43,12)</f>
        <v>12</v>
      </c>
      <c r="X44" t="s">
        <v>277</v>
      </c>
      <c r="Y44">
        <v>9</v>
      </c>
    </row>
    <row r="45" spans="1:34" x14ac:dyDescent="0.25">
      <c r="C45" t="s">
        <v>114</v>
      </c>
      <c r="D45">
        <v>15</v>
      </c>
    </row>
    <row r="46" spans="1:34" x14ac:dyDescent="0.25">
      <c r="C46" t="s">
        <v>116</v>
      </c>
      <c r="E46">
        <v>50</v>
      </c>
      <c r="M46" t="s">
        <v>218</v>
      </c>
      <c r="N46" t="s">
        <v>268</v>
      </c>
      <c r="O46" t="s">
        <v>269</v>
      </c>
      <c r="T46" s="2" t="s">
        <v>309</v>
      </c>
    </row>
    <row r="47" spans="1:34" x14ac:dyDescent="0.25">
      <c r="C47" t="s">
        <v>127</v>
      </c>
      <c r="E47">
        <f>3/18*6*C4</f>
        <v>18</v>
      </c>
      <c r="L47" t="s">
        <v>25</v>
      </c>
      <c r="M47">
        <f>F8+M95</f>
        <v>554.45200000000011</v>
      </c>
      <c r="N47">
        <v>8</v>
      </c>
      <c r="O47">
        <f>(1-0.01*$R$43)*N47</f>
        <v>5.1999999999999993</v>
      </c>
      <c r="T47" s="3" t="s">
        <v>305</v>
      </c>
      <c r="U47" s="3"/>
      <c r="V47" s="3">
        <f>V43</f>
        <v>1388.0691999999999</v>
      </c>
      <c r="X47" t="s">
        <v>307</v>
      </c>
      <c r="Z47">
        <f>V49*175</f>
        <v>175</v>
      </c>
    </row>
    <row r="48" spans="1:34" x14ac:dyDescent="0.25">
      <c r="C48" t="s">
        <v>119</v>
      </c>
      <c r="D48">
        <v>2</v>
      </c>
      <c r="E48">
        <v>0.9</v>
      </c>
      <c r="F48">
        <v>129</v>
      </c>
      <c r="T48" s="3" t="s">
        <v>304</v>
      </c>
      <c r="U48" s="3"/>
      <c r="V48" s="3">
        <f>M11+U44</f>
        <v>65.350000000000009</v>
      </c>
      <c r="X48" t="s">
        <v>308</v>
      </c>
      <c r="Z48">
        <f>1/(4-0.5*V49)</f>
        <v>0.2857142857142857</v>
      </c>
    </row>
    <row r="49" spans="3:27" x14ac:dyDescent="0.25">
      <c r="C49" t="s">
        <v>110</v>
      </c>
      <c r="E49">
        <v>25</v>
      </c>
      <c r="T49" s="3" t="s">
        <v>306</v>
      </c>
      <c r="U49" s="3"/>
      <c r="V49" s="3">
        <v>1</v>
      </c>
    </row>
    <row r="50" spans="3:27" x14ac:dyDescent="0.25">
      <c r="L50" t="s">
        <v>29</v>
      </c>
      <c r="M50">
        <f>F11</f>
        <v>0</v>
      </c>
      <c r="N50">
        <v>12</v>
      </c>
      <c r="O50">
        <f>(1-0.01*$R$43)*N50</f>
        <v>7.7999999999999989</v>
      </c>
    </row>
    <row r="51" spans="3:27" x14ac:dyDescent="0.25">
      <c r="T51" s="2" t="s">
        <v>303</v>
      </c>
      <c r="U51" s="2"/>
      <c r="V51" s="2">
        <f>(Z47/V47+Z48)/((100+V48)/100+Z48)</f>
        <v>0.21234821486027583</v>
      </c>
      <c r="W51">
        <f>V51*V47</f>
        <v>294.75401672253116</v>
      </c>
    </row>
    <row r="52" spans="3:27" x14ac:dyDescent="0.25">
      <c r="C52" s="2" t="s">
        <v>72</v>
      </c>
    </row>
    <row r="53" spans="3:27" x14ac:dyDescent="0.25">
      <c r="D53">
        <f>D20*$B20</f>
        <v>0</v>
      </c>
      <c r="E53">
        <f>E20*$B20</f>
        <v>0</v>
      </c>
      <c r="F53">
        <f>F20*$B20</f>
        <v>0</v>
      </c>
      <c r="G53">
        <f>G20*$B20</f>
        <v>0</v>
      </c>
      <c r="H53">
        <f>H20*$B20</f>
        <v>0</v>
      </c>
      <c r="L53" t="s">
        <v>33</v>
      </c>
      <c r="M53">
        <f>F14</f>
        <v>1452.0840000000003</v>
      </c>
      <c r="N53">
        <f>14-C14</f>
        <v>9</v>
      </c>
      <c r="O53">
        <f>(1-0.01*$R$43)*N53</f>
        <v>5.85</v>
      </c>
    </row>
    <row r="54" spans="3:27" x14ac:dyDescent="0.25">
      <c r="D54">
        <f t="shared" ref="D54:H69" si="8">D21*$B21</f>
        <v>0</v>
      </c>
      <c r="E54">
        <f t="shared" si="8"/>
        <v>0</v>
      </c>
      <c r="F54">
        <f t="shared" si="8"/>
        <v>0</v>
      </c>
      <c r="G54">
        <f t="shared" si="8"/>
        <v>0</v>
      </c>
      <c r="H54">
        <f t="shared" si="8"/>
        <v>0</v>
      </c>
    </row>
    <row r="55" spans="3:27" x14ac:dyDescent="0.25">
      <c r="D55">
        <f t="shared" si="8"/>
        <v>0</v>
      </c>
      <c r="E55">
        <f t="shared" si="8"/>
        <v>0</v>
      </c>
      <c r="F55">
        <f t="shared" si="8"/>
        <v>0</v>
      </c>
      <c r="G55">
        <f t="shared" si="8"/>
        <v>0</v>
      </c>
      <c r="H55">
        <f t="shared" si="8"/>
        <v>0</v>
      </c>
      <c r="L55" t="s">
        <v>362</v>
      </c>
      <c r="M55" s="2">
        <f>M53+M47</f>
        <v>2006.5360000000005</v>
      </c>
    </row>
    <row r="56" spans="3:27" x14ac:dyDescent="0.25">
      <c r="D56">
        <f t="shared" si="8"/>
        <v>0</v>
      </c>
      <c r="E56">
        <f t="shared" si="8"/>
        <v>0</v>
      </c>
      <c r="F56">
        <f t="shared" si="8"/>
        <v>0</v>
      </c>
      <c r="G56">
        <f t="shared" si="8"/>
        <v>0</v>
      </c>
      <c r="H56">
        <f t="shared" si="8"/>
        <v>0</v>
      </c>
      <c r="L56" t="s">
        <v>389</v>
      </c>
      <c r="M56">
        <f>M55+S10</f>
        <v>2309.7160000000003</v>
      </c>
    </row>
    <row r="57" spans="3:27" x14ac:dyDescent="0.25">
      <c r="D57">
        <f t="shared" si="8"/>
        <v>0</v>
      </c>
      <c r="E57">
        <f t="shared" si="8"/>
        <v>0</v>
      </c>
      <c r="F57">
        <f t="shared" si="8"/>
        <v>0</v>
      </c>
      <c r="G57">
        <f t="shared" si="8"/>
        <v>0</v>
      </c>
      <c r="H57">
        <f t="shared" si="8"/>
        <v>0</v>
      </c>
      <c r="L57" t="s">
        <v>356</v>
      </c>
      <c r="M57">
        <f>S10*B107</f>
        <v>0</v>
      </c>
      <c r="Y57" t="s">
        <v>316</v>
      </c>
    </row>
    <row r="58" spans="3:27" x14ac:dyDescent="0.25">
      <c r="D58">
        <f t="shared" si="8"/>
        <v>0</v>
      </c>
      <c r="E58">
        <f t="shared" si="8"/>
        <v>0</v>
      </c>
      <c r="F58">
        <f t="shared" si="8"/>
        <v>0</v>
      </c>
      <c r="G58">
        <f t="shared" si="8"/>
        <v>0</v>
      </c>
      <c r="H58">
        <f t="shared" si="8"/>
        <v>0</v>
      </c>
      <c r="L58" t="s">
        <v>397</v>
      </c>
      <c r="M58" t="s">
        <v>398</v>
      </c>
      <c r="N58" t="s">
        <v>399</v>
      </c>
      <c r="O58" t="s">
        <v>400</v>
      </c>
      <c r="P58" t="s">
        <v>401</v>
      </c>
      <c r="Q58" t="s">
        <v>402</v>
      </c>
      <c r="T58" s="1" t="s">
        <v>408</v>
      </c>
      <c r="Y58">
        <v>50</v>
      </c>
    </row>
    <row r="59" spans="3:27" x14ac:dyDescent="0.25">
      <c r="D59">
        <f t="shared" si="8"/>
        <v>0</v>
      </c>
      <c r="E59">
        <f t="shared" si="8"/>
        <v>0</v>
      </c>
      <c r="F59">
        <f t="shared" si="8"/>
        <v>0</v>
      </c>
      <c r="G59">
        <f t="shared" si="8"/>
        <v>0</v>
      </c>
      <c r="H59">
        <f t="shared" si="8"/>
        <v>0</v>
      </c>
      <c r="L59">
        <v>100</v>
      </c>
      <c r="M59">
        <f>L59*$AE$10</f>
        <v>65.8</v>
      </c>
      <c r="N59">
        <f>$AE$11</f>
        <v>11.52</v>
      </c>
      <c r="O59">
        <f>M59-N59</f>
        <v>54.28</v>
      </c>
      <c r="P59">
        <f>100/(100+O59)</f>
        <v>0.64817215452424159</v>
      </c>
      <c r="Q59">
        <f>P59*$M$56</f>
        <v>1497.0935960591135</v>
      </c>
      <c r="T59">
        <f>(M$56+M$57)*P59</f>
        <v>1497.0935960591135</v>
      </c>
    </row>
    <row r="60" spans="3:27" x14ac:dyDescent="0.25">
      <c r="D60">
        <f t="shared" si="8"/>
        <v>0</v>
      </c>
      <c r="E60">
        <f t="shared" si="8"/>
        <v>0</v>
      </c>
      <c r="F60">
        <f t="shared" si="8"/>
        <v>0</v>
      </c>
      <c r="G60">
        <f t="shared" si="8"/>
        <v>0</v>
      </c>
      <c r="H60">
        <f t="shared" si="8"/>
        <v>0</v>
      </c>
      <c r="L60">
        <v>200</v>
      </c>
      <c r="M60">
        <f>L60*$AE$10</f>
        <v>131.6</v>
      </c>
      <c r="N60">
        <f>$AE$11</f>
        <v>11.52</v>
      </c>
      <c r="O60">
        <f>M60-N60</f>
        <v>120.08</v>
      </c>
      <c r="P60">
        <f>100/(100+O60)</f>
        <v>0.45438022537259182</v>
      </c>
      <c r="Q60">
        <f>P60*$M$56</f>
        <v>1049.4892766266814</v>
      </c>
      <c r="T60">
        <f>(M$56+M$57)*P60</f>
        <v>1049.4892766266814</v>
      </c>
      <c r="Y60" t="s">
        <v>317</v>
      </c>
    </row>
    <row r="61" spans="3:27" x14ac:dyDescent="0.25">
      <c r="D61">
        <f t="shared" si="8"/>
        <v>0</v>
      </c>
      <c r="E61">
        <f t="shared" si="8"/>
        <v>0</v>
      </c>
      <c r="F61">
        <f t="shared" si="8"/>
        <v>0</v>
      </c>
      <c r="G61">
        <f t="shared" si="8"/>
        <v>0</v>
      </c>
      <c r="H61">
        <f t="shared" si="8"/>
        <v>0</v>
      </c>
      <c r="L61">
        <v>300</v>
      </c>
      <c r="M61">
        <f>L61*$AE$10</f>
        <v>197.39999999999998</v>
      </c>
      <c r="N61">
        <f>$AE$11</f>
        <v>11.52</v>
      </c>
      <c r="O61">
        <f>M61-N61</f>
        <v>185.87999999999997</v>
      </c>
      <c r="P61">
        <f>100/(100+O61)</f>
        <v>0.34979711767175037</v>
      </c>
      <c r="Q61">
        <f>P61*$M$56</f>
        <v>807.93199944032472</v>
      </c>
      <c r="T61">
        <f>(M$56+M$57)*P61</f>
        <v>807.93199944032472</v>
      </c>
      <c r="Y61">
        <v>0.06</v>
      </c>
    </row>
    <row r="62" spans="3:27" x14ac:dyDescent="0.25">
      <c r="D62">
        <f t="shared" si="8"/>
        <v>0</v>
      </c>
      <c r="E62">
        <f t="shared" si="8"/>
        <v>0</v>
      </c>
      <c r="F62">
        <f t="shared" si="8"/>
        <v>0</v>
      </c>
      <c r="G62">
        <f t="shared" si="8"/>
        <v>0</v>
      </c>
      <c r="H62">
        <f t="shared" si="8"/>
        <v>0</v>
      </c>
    </row>
    <row r="63" spans="3:27" x14ac:dyDescent="0.25">
      <c r="D63">
        <f t="shared" si="8"/>
        <v>0</v>
      </c>
      <c r="E63">
        <f t="shared" si="8"/>
        <v>0</v>
      </c>
      <c r="F63">
        <f t="shared" si="8"/>
        <v>0</v>
      </c>
      <c r="G63">
        <f t="shared" si="8"/>
        <v>0</v>
      </c>
      <c r="H63">
        <f t="shared" si="8"/>
        <v>0</v>
      </c>
      <c r="K63" t="s">
        <v>403</v>
      </c>
      <c r="L63" t="s">
        <v>404</v>
      </c>
      <c r="N63" t="s">
        <v>405</v>
      </c>
      <c r="P63" t="s">
        <v>406</v>
      </c>
      <c r="R63" t="s">
        <v>361</v>
      </c>
      <c r="T63" t="s">
        <v>407</v>
      </c>
      <c r="Y63" t="s">
        <v>318</v>
      </c>
      <c r="AA63">
        <f>100/(100+Y58)</f>
        <v>0.66666666666666663</v>
      </c>
    </row>
    <row r="64" spans="3:27" x14ac:dyDescent="0.25">
      <c r="D64">
        <f t="shared" si="8"/>
        <v>0</v>
      </c>
      <c r="E64">
        <f t="shared" si="8"/>
        <v>0</v>
      </c>
      <c r="F64">
        <f t="shared" si="8"/>
        <v>0</v>
      </c>
      <c r="G64">
        <f t="shared" si="8"/>
        <v>0</v>
      </c>
      <c r="H64">
        <f t="shared" si="8"/>
        <v>0</v>
      </c>
      <c r="J64">
        <v>100</v>
      </c>
      <c r="K64">
        <v>975.9</v>
      </c>
      <c r="L64">
        <v>1321.9</v>
      </c>
      <c r="M64">
        <f>L64/$K64</f>
        <v>1.3545445230044064</v>
      </c>
      <c r="N64">
        <v>1253</v>
      </c>
      <c r="O64">
        <f>N64/$K64</f>
        <v>1.2839430269494825</v>
      </c>
      <c r="P64">
        <f>1320.9</f>
        <v>1320.9</v>
      </c>
      <c r="Q64">
        <f>P64/$K64</f>
        <v>1.3535198278512144</v>
      </c>
      <c r="R64">
        <f>1472.3</f>
        <v>1472.3</v>
      </c>
      <c r="S64">
        <f>R64/$K64</f>
        <v>1.5086586740444718</v>
      </c>
      <c r="T64">
        <v>1281.4000000000001</v>
      </c>
      <c r="U64">
        <f>T64/$K64</f>
        <v>1.3130443693001332</v>
      </c>
      <c r="Y64" t="s">
        <v>319</v>
      </c>
      <c r="AA64">
        <f>100/(100+Y58*(1-Y61))</f>
        <v>0.68027210884353739</v>
      </c>
    </row>
    <row r="65" spans="4:29" x14ac:dyDescent="0.25">
      <c r="D65">
        <f t="shared" si="8"/>
        <v>0</v>
      </c>
      <c r="E65">
        <f t="shared" si="8"/>
        <v>0</v>
      </c>
      <c r="F65">
        <f t="shared" si="8"/>
        <v>0</v>
      </c>
      <c r="G65">
        <f t="shared" si="8"/>
        <v>0</v>
      </c>
      <c r="H65">
        <f t="shared" si="8"/>
        <v>0</v>
      </c>
      <c r="J65">
        <v>200</v>
      </c>
      <c r="K65">
        <v>684.1</v>
      </c>
      <c r="L65">
        <v>887.1</v>
      </c>
      <c r="M65">
        <f>L65/K65</f>
        <v>1.2967402426545827</v>
      </c>
      <c r="N65">
        <v>878.4</v>
      </c>
      <c r="O65">
        <f>N65/$K65</f>
        <v>1.2840228036836718</v>
      </c>
      <c r="P65">
        <v>996.2</v>
      </c>
      <c r="Q65">
        <f>P65/$K65</f>
        <v>1.4562198508989914</v>
      </c>
      <c r="R65">
        <v>1032.0999999999999</v>
      </c>
      <c r="S65">
        <f>R65/$K65</f>
        <v>1.5086975588364273</v>
      </c>
      <c r="T65">
        <v>898.3</v>
      </c>
      <c r="U65">
        <f>T65/$K65</f>
        <v>1.3131121181113872</v>
      </c>
      <c r="Y65" t="s">
        <v>320</v>
      </c>
      <c r="AA65">
        <f>(AA64-AA63)/AA64</f>
        <v>2.0000000000000021E-2</v>
      </c>
    </row>
    <row r="66" spans="4:29" x14ac:dyDescent="0.25">
      <c r="D66">
        <f t="shared" si="8"/>
        <v>0</v>
      </c>
      <c r="E66">
        <f t="shared" si="8"/>
        <v>0</v>
      </c>
      <c r="F66">
        <f t="shared" si="8"/>
        <v>0</v>
      </c>
      <c r="G66">
        <f t="shared" si="8"/>
        <v>0</v>
      </c>
      <c r="H66">
        <f t="shared" si="8"/>
        <v>0</v>
      </c>
      <c r="J66">
        <v>300</v>
      </c>
      <c r="K66">
        <v>526.70000000000005</v>
      </c>
      <c r="L66">
        <v>667.6</v>
      </c>
      <c r="M66">
        <f>L66/K66</f>
        <v>1.2675147142585912</v>
      </c>
      <c r="N66">
        <v>676.2</v>
      </c>
      <c r="O66">
        <f>N66/$K66</f>
        <v>1.2838427947598252</v>
      </c>
      <c r="P66">
        <v>799.7</v>
      </c>
      <c r="Q66">
        <f>P66/$K66</f>
        <v>1.518321625213594</v>
      </c>
      <c r="R66">
        <v>794.5</v>
      </c>
      <c r="S66">
        <f>R66/$K66</f>
        <v>1.5084488323523826</v>
      </c>
      <c r="T66">
        <v>691.5</v>
      </c>
      <c r="U66">
        <f>T66/$K66</f>
        <v>1.3128915891399278</v>
      </c>
    </row>
    <row r="67" spans="4:29" x14ac:dyDescent="0.25">
      <c r="D67">
        <f t="shared" si="8"/>
        <v>0</v>
      </c>
      <c r="E67">
        <f t="shared" si="8"/>
        <v>0</v>
      </c>
      <c r="F67">
        <f t="shared" si="8"/>
        <v>0</v>
      </c>
      <c r="G67">
        <f t="shared" si="8"/>
        <v>0</v>
      </c>
      <c r="H67">
        <f t="shared" si="8"/>
        <v>0</v>
      </c>
    </row>
    <row r="68" spans="4:29" x14ac:dyDescent="0.25">
      <c r="D68">
        <f t="shared" si="8"/>
        <v>0</v>
      </c>
      <c r="E68">
        <f t="shared" si="8"/>
        <v>0</v>
      </c>
      <c r="F68">
        <f t="shared" si="8"/>
        <v>0</v>
      </c>
      <c r="G68">
        <f t="shared" si="8"/>
        <v>0</v>
      </c>
      <c r="H68">
        <f t="shared" si="8"/>
        <v>0</v>
      </c>
      <c r="M68" t="s">
        <v>287</v>
      </c>
      <c r="N68" t="s">
        <v>133</v>
      </c>
    </row>
    <row r="69" spans="4:29" x14ac:dyDescent="0.25">
      <c r="D69">
        <f t="shared" si="8"/>
        <v>0</v>
      </c>
      <c r="E69">
        <f t="shared" si="8"/>
        <v>0</v>
      </c>
      <c r="F69">
        <f t="shared" si="8"/>
        <v>0</v>
      </c>
      <c r="G69">
        <f t="shared" si="8"/>
        <v>0</v>
      </c>
      <c r="H69">
        <f t="shared" si="8"/>
        <v>0</v>
      </c>
      <c r="L69" t="s">
        <v>222</v>
      </c>
      <c r="M69">
        <f>M47+M72</f>
        <v>554.45200000000011</v>
      </c>
      <c r="N69">
        <f>M69/(O47+4.5)</f>
        <v>57.160000000000018</v>
      </c>
      <c r="T69" t="s">
        <v>369</v>
      </c>
      <c r="W69" t="s">
        <v>375</v>
      </c>
      <c r="AA69" t="s">
        <v>371</v>
      </c>
    </row>
    <row r="70" spans="4:29" x14ac:dyDescent="0.25">
      <c r="D70">
        <f t="shared" ref="D70:H82" si="9">D37*$B37</f>
        <v>0</v>
      </c>
      <c r="E70">
        <f t="shared" si="9"/>
        <v>0</v>
      </c>
      <c r="F70">
        <f t="shared" si="9"/>
        <v>0</v>
      </c>
      <c r="G70">
        <f t="shared" si="9"/>
        <v>0</v>
      </c>
      <c r="H70">
        <f t="shared" si="9"/>
        <v>0</v>
      </c>
      <c r="L70" t="s">
        <v>223</v>
      </c>
      <c r="M70">
        <f>M50</f>
        <v>0</v>
      </c>
      <c r="N70">
        <f>M70/O50</f>
        <v>0</v>
      </c>
      <c r="R70" s="2"/>
      <c r="V70" t="s">
        <v>362</v>
      </c>
    </row>
    <row r="71" spans="4:29" x14ac:dyDescent="0.25">
      <c r="D71">
        <f t="shared" si="9"/>
        <v>0</v>
      </c>
      <c r="E71">
        <f t="shared" si="9"/>
        <v>0</v>
      </c>
      <c r="F71">
        <f t="shared" si="9"/>
        <v>0</v>
      </c>
      <c r="G71">
        <f t="shared" si="9"/>
        <v>0</v>
      </c>
      <c r="H71">
        <f t="shared" si="9"/>
        <v>0</v>
      </c>
      <c r="L71" t="s">
        <v>224</v>
      </c>
      <c r="M71">
        <f>M53</f>
        <v>1452.0840000000003</v>
      </c>
      <c r="N71">
        <f>M71/(O53+3)</f>
        <v>164.07728813559325</v>
      </c>
      <c r="T71" t="s">
        <v>363</v>
      </c>
      <c r="V71">
        <f>371.8</f>
        <v>371.8</v>
      </c>
      <c r="W71">
        <v>270.60000000000002</v>
      </c>
      <c r="AA71" t="s">
        <v>372</v>
      </c>
      <c r="AC71">
        <v>254</v>
      </c>
    </row>
    <row r="72" spans="4:29" x14ac:dyDescent="0.25">
      <c r="D72">
        <f t="shared" si="9"/>
        <v>0</v>
      </c>
      <c r="E72">
        <f t="shared" si="9"/>
        <v>0</v>
      </c>
      <c r="F72">
        <f t="shared" si="9"/>
        <v>0</v>
      </c>
      <c r="G72">
        <f t="shared" si="9"/>
        <v>0</v>
      </c>
      <c r="H72">
        <f t="shared" si="9"/>
        <v>0</v>
      </c>
      <c r="L72" t="s">
        <v>294</v>
      </c>
      <c r="T72" t="s">
        <v>364</v>
      </c>
      <c r="V72">
        <v>343.1</v>
      </c>
      <c r="W72">
        <v>272.3</v>
      </c>
      <c r="AA72" t="s">
        <v>114</v>
      </c>
      <c r="AC72">
        <v>240</v>
      </c>
    </row>
    <row r="73" spans="4:29" x14ac:dyDescent="0.25">
      <c r="D73">
        <f t="shared" si="9"/>
        <v>0</v>
      </c>
      <c r="E73">
        <f t="shared" si="9"/>
        <v>0</v>
      </c>
      <c r="F73">
        <f t="shared" si="9"/>
        <v>0</v>
      </c>
      <c r="G73">
        <f t="shared" si="9"/>
        <v>0</v>
      </c>
      <c r="H73">
        <f t="shared" si="9"/>
        <v>0</v>
      </c>
      <c r="L73" t="s">
        <v>233</v>
      </c>
      <c r="M73">
        <f>SUM(M69:M71)</f>
        <v>2006.5360000000005</v>
      </c>
      <c r="N73">
        <f>SUM(N69:N71)</f>
        <v>221.23728813559327</v>
      </c>
      <c r="W73">
        <f>W72/W71</f>
        <v>1.0062823355506283</v>
      </c>
    </row>
    <row r="74" spans="4:29" x14ac:dyDescent="0.25">
      <c r="D74">
        <f t="shared" si="9"/>
        <v>0</v>
      </c>
      <c r="E74">
        <f t="shared" si="9"/>
        <v>0</v>
      </c>
      <c r="F74">
        <f t="shared" si="9"/>
        <v>0</v>
      </c>
      <c r="G74">
        <f t="shared" si="9"/>
        <v>0</v>
      </c>
      <c r="H74">
        <f t="shared" si="9"/>
        <v>0</v>
      </c>
      <c r="L74" t="s">
        <v>239</v>
      </c>
      <c r="N74">
        <f>B37*(24+1.5*C4)+B27*(25+C4)</f>
        <v>0</v>
      </c>
    </row>
    <row r="75" spans="4:29" x14ac:dyDescent="0.25">
      <c r="D75">
        <f t="shared" si="9"/>
        <v>0</v>
      </c>
      <c r="E75">
        <f t="shared" si="9"/>
        <v>0</v>
      </c>
      <c r="F75">
        <f t="shared" si="9"/>
        <v>0</v>
      </c>
      <c r="G75">
        <f t="shared" si="9"/>
        <v>0</v>
      </c>
      <c r="H75">
        <f t="shared" si="9"/>
        <v>0</v>
      </c>
      <c r="L75" t="s">
        <v>329</v>
      </c>
      <c r="M75">
        <f>2*M8*B99</f>
        <v>0</v>
      </c>
      <c r="N75">
        <f>M75/8</f>
        <v>0</v>
      </c>
      <c r="P75" t="s">
        <v>361</v>
      </c>
      <c r="T75" t="s">
        <v>370</v>
      </c>
    </row>
    <row r="76" spans="4:29" x14ac:dyDescent="0.25">
      <c r="D76">
        <f t="shared" si="9"/>
        <v>0</v>
      </c>
      <c r="E76">
        <f t="shared" si="9"/>
        <v>0</v>
      </c>
      <c r="F76">
        <f t="shared" si="9"/>
        <v>0</v>
      </c>
      <c r="G76">
        <f t="shared" si="9"/>
        <v>0</v>
      </c>
      <c r="H76">
        <f t="shared" si="9"/>
        <v>0</v>
      </c>
      <c r="L76" t="s">
        <v>360</v>
      </c>
      <c r="M76">
        <f>S10*B107</f>
        <v>0</v>
      </c>
      <c r="P76">
        <v>2061</v>
      </c>
      <c r="Q76">
        <v>553</v>
      </c>
      <c r="T76" t="s">
        <v>363</v>
      </c>
      <c r="V76">
        <v>496.9</v>
      </c>
      <c r="W76">
        <v>347</v>
      </c>
      <c r="AA76" t="s">
        <v>372</v>
      </c>
      <c r="AC76">
        <v>342.3</v>
      </c>
    </row>
    <row r="77" spans="4:29" x14ac:dyDescent="0.25">
      <c r="D77">
        <f t="shared" si="9"/>
        <v>0</v>
      </c>
      <c r="E77">
        <f t="shared" si="9"/>
        <v>0</v>
      </c>
      <c r="F77">
        <f t="shared" si="9"/>
        <v>0</v>
      </c>
      <c r="G77">
        <f t="shared" si="9"/>
        <v>0</v>
      </c>
      <c r="H77">
        <f t="shared" si="9"/>
        <v>0</v>
      </c>
      <c r="L77" t="s">
        <v>232</v>
      </c>
      <c r="N77">
        <f>M99</f>
        <v>276.46226250000007</v>
      </c>
      <c r="T77" t="s">
        <v>364</v>
      </c>
      <c r="V77">
        <v>464.6</v>
      </c>
      <c r="W77">
        <v>352.8</v>
      </c>
      <c r="AA77" t="s">
        <v>114</v>
      </c>
      <c r="AC77">
        <v>304.5</v>
      </c>
    </row>
    <row r="78" spans="4:29" x14ac:dyDescent="0.25">
      <c r="D78">
        <f t="shared" si="9"/>
        <v>0</v>
      </c>
      <c r="E78">
        <f t="shared" si="9"/>
        <v>0</v>
      </c>
      <c r="F78">
        <f t="shared" si="9"/>
        <v>0</v>
      </c>
      <c r="G78">
        <f t="shared" si="9"/>
        <v>0</v>
      </c>
      <c r="H78">
        <f t="shared" si="9"/>
        <v>0</v>
      </c>
      <c r="L78" t="s">
        <v>234</v>
      </c>
      <c r="M78">
        <f>SUM(M73:M75)</f>
        <v>2006.5360000000005</v>
      </c>
      <c r="N78" s="2">
        <f>N77+N73+N74+N75</f>
        <v>497.69955063559337</v>
      </c>
      <c r="P78" t="s">
        <v>329</v>
      </c>
      <c r="W78">
        <f>W77/W76</f>
        <v>1.0167146974063401</v>
      </c>
    </row>
    <row r="79" spans="4:29" x14ac:dyDescent="0.25">
      <c r="D79">
        <f t="shared" si="9"/>
        <v>0</v>
      </c>
      <c r="E79">
        <f t="shared" si="9"/>
        <v>0</v>
      </c>
      <c r="F79">
        <f t="shared" si="9"/>
        <v>0</v>
      </c>
      <c r="G79">
        <f t="shared" si="9"/>
        <v>0</v>
      </c>
      <c r="H79">
        <f t="shared" si="9"/>
        <v>0</v>
      </c>
      <c r="P79">
        <v>1809</v>
      </c>
      <c r="Q79">
        <v>480</v>
      </c>
      <c r="T79" t="s">
        <v>376</v>
      </c>
    </row>
    <row r="80" spans="4:29" x14ac:dyDescent="0.25">
      <c r="D80">
        <f t="shared" si="9"/>
        <v>0</v>
      </c>
      <c r="E80">
        <f t="shared" si="9"/>
        <v>0</v>
      </c>
      <c r="F80">
        <f t="shared" si="9"/>
        <v>0</v>
      </c>
      <c r="G80">
        <f t="shared" si="9"/>
        <v>0</v>
      </c>
      <c r="H80">
        <f t="shared" si="9"/>
        <v>0</v>
      </c>
      <c r="T80" t="s">
        <v>363</v>
      </c>
      <c r="V80">
        <v>1367.4</v>
      </c>
      <c r="W80">
        <v>684</v>
      </c>
    </row>
    <row r="81" spans="2:23" x14ac:dyDescent="0.25">
      <c r="D81">
        <f t="shared" si="9"/>
        <v>0</v>
      </c>
      <c r="E81">
        <f t="shared" si="9"/>
        <v>0</v>
      </c>
      <c r="F81">
        <f t="shared" si="9"/>
        <v>0</v>
      </c>
      <c r="G81">
        <f t="shared" si="9"/>
        <v>0</v>
      </c>
      <c r="H81">
        <f t="shared" si="9"/>
        <v>0</v>
      </c>
      <c r="T81" t="s">
        <v>364</v>
      </c>
      <c r="V81">
        <v>1327.4459999999999</v>
      </c>
      <c r="W81">
        <v>717</v>
      </c>
    </row>
    <row r="82" spans="2:23" x14ac:dyDescent="0.25">
      <c r="D82">
        <f t="shared" si="9"/>
        <v>0</v>
      </c>
      <c r="E82">
        <f t="shared" si="9"/>
        <v>0</v>
      </c>
      <c r="F82">
        <f t="shared" si="9"/>
        <v>0</v>
      </c>
      <c r="G82">
        <f t="shared" si="9"/>
        <v>0</v>
      </c>
      <c r="H82">
        <f t="shared" si="9"/>
        <v>0</v>
      </c>
      <c r="W82">
        <f>W81/W80</f>
        <v>1.0482456140350878</v>
      </c>
    </row>
    <row r="83" spans="2:23" x14ac:dyDescent="0.25">
      <c r="C83" s="2" t="s">
        <v>73</v>
      </c>
      <c r="D83">
        <f>SUM(D53:D82)</f>
        <v>0</v>
      </c>
      <c r="E83">
        <f>SUM(E53:E82)</f>
        <v>0</v>
      </c>
      <c r="F83">
        <f>SUM(F53:F82)</f>
        <v>0</v>
      </c>
      <c r="G83">
        <f>SUM(G53:G82)</f>
        <v>0</v>
      </c>
      <c r="H83">
        <f>SUM(H53:H82)</f>
        <v>0</v>
      </c>
      <c r="R83" t="s">
        <v>255</v>
      </c>
      <c r="T83" t="s">
        <v>256</v>
      </c>
      <c r="U83" t="s">
        <v>258</v>
      </c>
      <c r="V83" t="s">
        <v>259</v>
      </c>
    </row>
    <row r="84" spans="2:23" x14ac:dyDescent="0.25">
      <c r="R84">
        <f>S20</f>
        <v>102.53600000000002</v>
      </c>
      <c r="S84">
        <f>100/(100+S20)</f>
        <v>0.49373938460323102</v>
      </c>
    </row>
    <row r="85" spans="2:23" x14ac:dyDescent="0.25">
      <c r="Q85" t="s">
        <v>257</v>
      </c>
      <c r="S85">
        <f>S84*0.9</f>
        <v>0.44436544614290791</v>
      </c>
      <c r="T85">
        <f>100/S85-100</f>
        <v>125.04000000000002</v>
      </c>
      <c r="U85">
        <f>T85-R84</f>
        <v>22.504000000000005</v>
      </c>
    </row>
    <row r="86" spans="2:23" x14ac:dyDescent="0.25">
      <c r="Q86" t="s">
        <v>259</v>
      </c>
      <c r="S86">
        <f>S85*0.85</f>
        <v>0.37771062922147169</v>
      </c>
      <c r="T86">
        <f>100/S86-100</f>
        <v>164.75294117647064</v>
      </c>
      <c r="V86">
        <f>T86-T85</f>
        <v>39.712941176470622</v>
      </c>
    </row>
    <row r="87" spans="2:23" x14ac:dyDescent="0.25">
      <c r="B87" s="2" t="s">
        <v>35</v>
      </c>
      <c r="C87" s="2" t="s">
        <v>36</v>
      </c>
      <c r="D87" s="2" t="s">
        <v>37</v>
      </c>
      <c r="E87" s="2" t="s">
        <v>38</v>
      </c>
      <c r="F87" s="2" t="s">
        <v>39</v>
      </c>
      <c r="G87" s="2" t="s">
        <v>391</v>
      </c>
      <c r="H87" s="2" t="s">
        <v>392</v>
      </c>
      <c r="K87" s="2" t="s">
        <v>40</v>
      </c>
      <c r="L87" s="2" t="s">
        <v>37</v>
      </c>
      <c r="M87" s="2" t="s">
        <v>38</v>
      </c>
      <c r="N87" s="2" t="s">
        <v>41</v>
      </c>
    </row>
    <row r="88" spans="2:23" x14ac:dyDescent="0.25">
      <c r="C88" t="s">
        <v>43</v>
      </c>
      <c r="D88">
        <v>80</v>
      </c>
      <c r="E88">
        <v>0</v>
      </c>
      <c r="F88">
        <v>0.25</v>
      </c>
      <c r="L88">
        <f>D138</f>
        <v>148</v>
      </c>
      <c r="M88">
        <f>E138</f>
        <v>0</v>
      </c>
      <c r="N88">
        <f>F138</f>
        <v>0</v>
      </c>
    </row>
    <row r="89" spans="2:23" x14ac:dyDescent="0.25">
      <c r="C89" t="s">
        <v>44</v>
      </c>
      <c r="D89">
        <v>0</v>
      </c>
      <c r="E89">
        <v>0.5</v>
      </c>
      <c r="F89">
        <v>0.3</v>
      </c>
    </row>
    <row r="90" spans="2:23" x14ac:dyDescent="0.25">
      <c r="C90" t="s">
        <v>45</v>
      </c>
      <c r="E90">
        <v>0.4</v>
      </c>
      <c r="F90">
        <v>0.2</v>
      </c>
      <c r="K90" t="s">
        <v>12</v>
      </c>
      <c r="M90">
        <f>AA10</f>
        <v>0.91187499999999999</v>
      </c>
    </row>
    <row r="91" spans="2:23" x14ac:dyDescent="0.25">
      <c r="C91" t="s">
        <v>46</v>
      </c>
      <c r="D91">
        <v>40</v>
      </c>
      <c r="E91">
        <v>0</v>
      </c>
      <c r="F91">
        <v>0</v>
      </c>
      <c r="H91">
        <v>0.35</v>
      </c>
    </row>
    <row r="92" spans="2:23" x14ac:dyDescent="0.25">
      <c r="C92" t="s">
        <v>47</v>
      </c>
      <c r="D92">
        <v>80</v>
      </c>
      <c r="E92">
        <v>0</v>
      </c>
      <c r="F92">
        <v>0</v>
      </c>
      <c r="K92" t="s">
        <v>48</v>
      </c>
      <c r="M92">
        <v>2.5</v>
      </c>
    </row>
    <row r="93" spans="2:23" x14ac:dyDescent="0.25">
      <c r="C93" t="s">
        <v>49</v>
      </c>
      <c r="D93">
        <v>80</v>
      </c>
    </row>
    <row r="94" spans="2:23" x14ac:dyDescent="0.25">
      <c r="C94" t="s">
        <v>50</v>
      </c>
      <c r="D94">
        <v>7</v>
      </c>
      <c r="K94" t="s">
        <v>51</v>
      </c>
      <c r="M94">
        <f>S10</f>
        <v>303.18000000000006</v>
      </c>
    </row>
    <row r="95" spans="2:23" x14ac:dyDescent="0.25">
      <c r="C95" t="s">
        <v>52</v>
      </c>
      <c r="D95">
        <v>25</v>
      </c>
      <c r="E95">
        <v>0.5</v>
      </c>
      <c r="K95" t="s">
        <v>53</v>
      </c>
      <c r="M95">
        <f>M94*(1+1.5*N88)</f>
        <v>303.18000000000006</v>
      </c>
    </row>
    <row r="96" spans="2:23" x14ac:dyDescent="0.25">
      <c r="C96" t="s">
        <v>54</v>
      </c>
      <c r="D96">
        <v>25</v>
      </c>
      <c r="E96">
        <v>0.4</v>
      </c>
      <c r="F96">
        <v>0</v>
      </c>
      <c r="K96" t="s">
        <v>55</v>
      </c>
      <c r="M96">
        <f>M94*IF(B88,2.5,2)</f>
        <v>606.36000000000013</v>
      </c>
    </row>
    <row r="97" spans="2:13" x14ac:dyDescent="0.25">
      <c r="C97" t="s">
        <v>56</v>
      </c>
      <c r="D97">
        <v>30</v>
      </c>
      <c r="E97">
        <v>0</v>
      </c>
      <c r="F97">
        <v>0.15</v>
      </c>
      <c r="G97">
        <v>20</v>
      </c>
    </row>
    <row r="98" spans="2:13" x14ac:dyDescent="0.25">
      <c r="C98" t="s">
        <v>57</v>
      </c>
      <c r="E98">
        <v>0.2</v>
      </c>
      <c r="K98" t="s">
        <v>58</v>
      </c>
      <c r="M98">
        <f>S10*M90</f>
        <v>276.46226250000007</v>
      </c>
    </row>
    <row r="99" spans="2:13" x14ac:dyDescent="0.25">
      <c r="C99" t="s">
        <v>59</v>
      </c>
      <c r="D99">
        <v>30</v>
      </c>
      <c r="E99">
        <v>0.3</v>
      </c>
      <c r="F99">
        <v>0.1</v>
      </c>
      <c r="K99" t="s">
        <v>60</v>
      </c>
      <c r="M99">
        <f>M98*(1+1.5*N88)</f>
        <v>276.46226250000007</v>
      </c>
    </row>
    <row r="100" spans="2:13" x14ac:dyDescent="0.25">
      <c r="C100" t="s">
        <v>61</v>
      </c>
      <c r="D100">
        <v>20</v>
      </c>
    </row>
    <row r="101" spans="2:13" x14ac:dyDescent="0.25">
      <c r="B101">
        <v>1.25</v>
      </c>
      <c r="C101" t="s">
        <v>62</v>
      </c>
      <c r="D101">
        <v>60</v>
      </c>
    </row>
    <row r="102" spans="2:13" x14ac:dyDescent="0.25">
      <c r="C102" t="s">
        <v>63</v>
      </c>
      <c r="D102">
        <v>25</v>
      </c>
      <c r="G102">
        <v>10</v>
      </c>
    </row>
    <row r="103" spans="2:13" x14ac:dyDescent="0.25">
      <c r="B103">
        <v>1</v>
      </c>
      <c r="C103" t="s">
        <v>64</v>
      </c>
      <c r="D103">
        <v>40</v>
      </c>
      <c r="H103">
        <v>0.3</v>
      </c>
    </row>
    <row r="104" spans="2:13" x14ac:dyDescent="0.25">
      <c r="C104" t="s">
        <v>65</v>
      </c>
      <c r="D104">
        <v>25</v>
      </c>
    </row>
    <row r="105" spans="2:13" x14ac:dyDescent="0.25">
      <c r="C105" t="s">
        <v>66</v>
      </c>
      <c r="D105">
        <v>25</v>
      </c>
    </row>
    <row r="106" spans="2:13" x14ac:dyDescent="0.25">
      <c r="C106" t="s">
        <v>67</v>
      </c>
      <c r="D106">
        <v>40</v>
      </c>
    </row>
    <row r="107" spans="2:13" x14ac:dyDescent="0.25">
      <c r="C107" t="s">
        <v>68</v>
      </c>
      <c r="D107">
        <v>75</v>
      </c>
    </row>
    <row r="108" spans="2:13" x14ac:dyDescent="0.25">
      <c r="B108">
        <v>3.3</v>
      </c>
      <c r="C108" t="s">
        <v>69</v>
      </c>
      <c r="D108">
        <v>10</v>
      </c>
    </row>
    <row r="109" spans="2:13" x14ac:dyDescent="0.25">
      <c r="C109" t="s">
        <v>70</v>
      </c>
      <c r="D109">
        <v>25</v>
      </c>
    </row>
    <row r="110" spans="2:13" x14ac:dyDescent="0.25">
      <c r="C110" t="s">
        <v>71</v>
      </c>
      <c r="D110">
        <v>50</v>
      </c>
    </row>
    <row r="114" spans="3:8" x14ac:dyDescent="0.25">
      <c r="C114" s="2" t="s">
        <v>72</v>
      </c>
    </row>
    <row r="115" spans="3:8" x14ac:dyDescent="0.25">
      <c r="D115">
        <f t="shared" ref="D115:D137" si="10">D88*B88</f>
        <v>0</v>
      </c>
      <c r="E115">
        <f t="shared" ref="E115:E137" si="11">E88*B88</f>
        <v>0</v>
      </c>
      <c r="F115">
        <f>F88*$B88</f>
        <v>0</v>
      </c>
      <c r="G115">
        <f>G88*$B88</f>
        <v>0</v>
      </c>
      <c r="H115">
        <f>1-H88*$B88</f>
        <v>1</v>
      </c>
    </row>
    <row r="116" spans="3:8" x14ac:dyDescent="0.25">
      <c r="D116">
        <f t="shared" si="10"/>
        <v>0</v>
      </c>
      <c r="E116">
        <f t="shared" si="11"/>
        <v>0</v>
      </c>
      <c r="F116">
        <f t="shared" ref="F116:G131" si="12">F89*$B89</f>
        <v>0</v>
      </c>
      <c r="G116">
        <f t="shared" si="12"/>
        <v>0</v>
      </c>
      <c r="H116">
        <f t="shared" ref="H116:H137" si="13">1-H89*$B89</f>
        <v>1</v>
      </c>
    </row>
    <row r="117" spans="3:8" x14ac:dyDescent="0.25">
      <c r="D117">
        <f t="shared" si="10"/>
        <v>0</v>
      </c>
      <c r="E117">
        <f t="shared" si="11"/>
        <v>0</v>
      </c>
      <c r="F117">
        <f t="shared" si="12"/>
        <v>0</v>
      </c>
      <c r="G117">
        <f t="shared" si="12"/>
        <v>0</v>
      </c>
      <c r="H117">
        <f t="shared" si="13"/>
        <v>1</v>
      </c>
    </row>
    <row r="118" spans="3:8" x14ac:dyDescent="0.25">
      <c r="D118">
        <f t="shared" si="10"/>
        <v>0</v>
      </c>
      <c r="E118">
        <f t="shared" si="11"/>
        <v>0</v>
      </c>
      <c r="F118">
        <f t="shared" si="12"/>
        <v>0</v>
      </c>
      <c r="G118">
        <f t="shared" si="12"/>
        <v>0</v>
      </c>
      <c r="H118">
        <f t="shared" si="13"/>
        <v>1</v>
      </c>
    </row>
    <row r="119" spans="3:8" x14ac:dyDescent="0.25">
      <c r="D119">
        <f t="shared" si="10"/>
        <v>0</v>
      </c>
      <c r="E119">
        <f t="shared" si="11"/>
        <v>0</v>
      </c>
      <c r="F119">
        <f t="shared" si="12"/>
        <v>0</v>
      </c>
      <c r="G119">
        <f t="shared" si="12"/>
        <v>0</v>
      </c>
      <c r="H119">
        <f t="shared" si="13"/>
        <v>1</v>
      </c>
    </row>
    <row r="120" spans="3:8" x14ac:dyDescent="0.25">
      <c r="D120">
        <f t="shared" si="10"/>
        <v>0</v>
      </c>
      <c r="E120">
        <f t="shared" si="11"/>
        <v>0</v>
      </c>
      <c r="F120">
        <f t="shared" si="12"/>
        <v>0</v>
      </c>
      <c r="G120">
        <f t="shared" si="12"/>
        <v>0</v>
      </c>
      <c r="H120">
        <f t="shared" si="13"/>
        <v>1</v>
      </c>
    </row>
    <row r="121" spans="3:8" x14ac:dyDescent="0.25">
      <c r="D121">
        <f t="shared" si="10"/>
        <v>0</v>
      </c>
      <c r="E121">
        <f t="shared" si="11"/>
        <v>0</v>
      </c>
      <c r="F121">
        <f t="shared" si="12"/>
        <v>0</v>
      </c>
      <c r="G121">
        <f t="shared" si="12"/>
        <v>0</v>
      </c>
      <c r="H121">
        <f t="shared" si="13"/>
        <v>1</v>
      </c>
    </row>
    <row r="122" spans="3:8" x14ac:dyDescent="0.25">
      <c r="D122">
        <f t="shared" si="10"/>
        <v>0</v>
      </c>
      <c r="E122">
        <f t="shared" si="11"/>
        <v>0</v>
      </c>
      <c r="F122">
        <f t="shared" si="12"/>
        <v>0</v>
      </c>
      <c r="G122">
        <f t="shared" si="12"/>
        <v>0</v>
      </c>
      <c r="H122">
        <f t="shared" si="13"/>
        <v>1</v>
      </c>
    </row>
    <row r="123" spans="3:8" x14ac:dyDescent="0.25">
      <c r="D123">
        <f t="shared" si="10"/>
        <v>0</v>
      </c>
      <c r="E123">
        <f t="shared" si="11"/>
        <v>0</v>
      </c>
      <c r="F123">
        <f t="shared" si="12"/>
        <v>0</v>
      </c>
      <c r="G123">
        <f t="shared" si="12"/>
        <v>0</v>
      </c>
      <c r="H123">
        <f t="shared" si="13"/>
        <v>1</v>
      </c>
    </row>
    <row r="124" spans="3:8" x14ac:dyDescent="0.25">
      <c r="D124">
        <f t="shared" si="10"/>
        <v>0</v>
      </c>
      <c r="E124">
        <f t="shared" si="11"/>
        <v>0</v>
      </c>
      <c r="F124">
        <f t="shared" si="12"/>
        <v>0</v>
      </c>
      <c r="G124">
        <f t="shared" si="12"/>
        <v>0</v>
      </c>
      <c r="H124">
        <f t="shared" si="13"/>
        <v>1</v>
      </c>
    </row>
    <row r="125" spans="3:8" x14ac:dyDescent="0.25">
      <c r="D125">
        <f t="shared" si="10"/>
        <v>0</v>
      </c>
      <c r="E125">
        <f t="shared" si="11"/>
        <v>0</v>
      </c>
      <c r="F125">
        <f t="shared" si="12"/>
        <v>0</v>
      </c>
      <c r="G125">
        <f t="shared" si="12"/>
        <v>0</v>
      </c>
      <c r="H125">
        <f t="shared" si="13"/>
        <v>1</v>
      </c>
    </row>
    <row r="126" spans="3:8" x14ac:dyDescent="0.25">
      <c r="D126">
        <f t="shared" si="10"/>
        <v>0</v>
      </c>
      <c r="E126">
        <f t="shared" si="11"/>
        <v>0</v>
      </c>
      <c r="F126">
        <f t="shared" si="12"/>
        <v>0</v>
      </c>
      <c r="G126">
        <f t="shared" si="12"/>
        <v>0</v>
      </c>
      <c r="H126">
        <f t="shared" si="13"/>
        <v>1</v>
      </c>
    </row>
    <row r="127" spans="3:8" x14ac:dyDescent="0.25">
      <c r="D127">
        <f t="shared" si="10"/>
        <v>0</v>
      </c>
      <c r="E127">
        <f t="shared" si="11"/>
        <v>0</v>
      </c>
      <c r="F127">
        <f t="shared" si="12"/>
        <v>0</v>
      </c>
      <c r="G127">
        <f t="shared" si="12"/>
        <v>0</v>
      </c>
      <c r="H127">
        <f t="shared" si="13"/>
        <v>1</v>
      </c>
    </row>
    <row r="128" spans="3:8" x14ac:dyDescent="0.25">
      <c r="D128">
        <f t="shared" si="10"/>
        <v>75</v>
      </c>
      <c r="E128">
        <f t="shared" si="11"/>
        <v>0</v>
      </c>
      <c r="F128">
        <f t="shared" si="12"/>
        <v>0</v>
      </c>
      <c r="G128">
        <f t="shared" si="12"/>
        <v>0</v>
      </c>
      <c r="H128">
        <f t="shared" si="13"/>
        <v>1</v>
      </c>
    </row>
    <row r="129" spans="3:8" x14ac:dyDescent="0.25">
      <c r="D129">
        <f t="shared" si="10"/>
        <v>0</v>
      </c>
      <c r="E129">
        <f t="shared" si="11"/>
        <v>0</v>
      </c>
      <c r="F129">
        <f t="shared" si="12"/>
        <v>0</v>
      </c>
      <c r="G129">
        <f t="shared" si="12"/>
        <v>0</v>
      </c>
      <c r="H129">
        <f t="shared" si="13"/>
        <v>1</v>
      </c>
    </row>
    <row r="130" spans="3:8" x14ac:dyDescent="0.25">
      <c r="D130">
        <f t="shared" si="10"/>
        <v>40</v>
      </c>
      <c r="E130">
        <f t="shared" si="11"/>
        <v>0</v>
      </c>
      <c r="F130">
        <f t="shared" si="12"/>
        <v>0</v>
      </c>
      <c r="G130">
        <f t="shared" si="12"/>
        <v>0</v>
      </c>
      <c r="H130">
        <f t="shared" si="13"/>
        <v>0.7</v>
      </c>
    </row>
    <row r="131" spans="3:8" x14ac:dyDescent="0.25">
      <c r="D131">
        <f t="shared" si="10"/>
        <v>0</v>
      </c>
      <c r="E131">
        <f t="shared" si="11"/>
        <v>0</v>
      </c>
      <c r="F131">
        <f t="shared" si="12"/>
        <v>0</v>
      </c>
      <c r="G131">
        <f t="shared" si="12"/>
        <v>0</v>
      </c>
      <c r="H131">
        <f t="shared" si="13"/>
        <v>1</v>
      </c>
    </row>
    <row r="132" spans="3:8" x14ac:dyDescent="0.25">
      <c r="D132">
        <f t="shared" si="10"/>
        <v>0</v>
      </c>
      <c r="E132">
        <f t="shared" si="11"/>
        <v>0</v>
      </c>
      <c r="F132">
        <f t="shared" ref="F132:G137" si="14">F105*$B105</f>
        <v>0</v>
      </c>
      <c r="G132">
        <f t="shared" si="14"/>
        <v>0</v>
      </c>
      <c r="H132">
        <f t="shared" si="13"/>
        <v>1</v>
      </c>
    </row>
    <row r="133" spans="3:8" x14ac:dyDescent="0.25">
      <c r="D133">
        <f t="shared" si="10"/>
        <v>0</v>
      </c>
      <c r="E133">
        <f t="shared" si="11"/>
        <v>0</v>
      </c>
      <c r="F133">
        <f t="shared" si="14"/>
        <v>0</v>
      </c>
      <c r="G133">
        <f t="shared" si="14"/>
        <v>0</v>
      </c>
      <c r="H133">
        <f t="shared" si="13"/>
        <v>1</v>
      </c>
    </row>
    <row r="134" spans="3:8" x14ac:dyDescent="0.25">
      <c r="D134">
        <f t="shared" si="10"/>
        <v>0</v>
      </c>
      <c r="E134">
        <f t="shared" si="11"/>
        <v>0</v>
      </c>
      <c r="F134">
        <f t="shared" si="14"/>
        <v>0</v>
      </c>
      <c r="G134">
        <f t="shared" si="14"/>
        <v>0</v>
      </c>
      <c r="H134">
        <f t="shared" si="13"/>
        <v>1</v>
      </c>
    </row>
    <row r="135" spans="3:8" x14ac:dyDescent="0.25">
      <c r="D135">
        <f t="shared" si="10"/>
        <v>33</v>
      </c>
      <c r="E135">
        <f t="shared" si="11"/>
        <v>0</v>
      </c>
      <c r="F135">
        <f t="shared" si="14"/>
        <v>0</v>
      </c>
      <c r="G135">
        <f t="shared" si="14"/>
        <v>0</v>
      </c>
      <c r="H135">
        <f t="shared" si="13"/>
        <v>1</v>
      </c>
    </row>
    <row r="136" spans="3:8" x14ac:dyDescent="0.25">
      <c r="D136">
        <f t="shared" si="10"/>
        <v>0</v>
      </c>
      <c r="E136">
        <f t="shared" si="11"/>
        <v>0</v>
      </c>
      <c r="F136">
        <f t="shared" si="14"/>
        <v>0</v>
      </c>
      <c r="G136">
        <f t="shared" si="14"/>
        <v>0</v>
      </c>
      <c r="H136">
        <f t="shared" si="13"/>
        <v>1</v>
      </c>
    </row>
    <row r="137" spans="3:8" x14ac:dyDescent="0.25">
      <c r="D137">
        <f t="shared" si="10"/>
        <v>0</v>
      </c>
      <c r="E137">
        <f t="shared" si="11"/>
        <v>0</v>
      </c>
      <c r="F137">
        <f t="shared" si="14"/>
        <v>0</v>
      </c>
      <c r="G137">
        <f t="shared" si="14"/>
        <v>0</v>
      </c>
      <c r="H137">
        <f t="shared" si="13"/>
        <v>1</v>
      </c>
    </row>
    <row r="138" spans="3:8" x14ac:dyDescent="0.25">
      <c r="C138" s="2" t="s">
        <v>73</v>
      </c>
      <c r="D138">
        <f>SUM(D115:D137)</f>
        <v>148</v>
      </c>
      <c r="E138">
        <f>SUM(E115:E137)</f>
        <v>0</v>
      </c>
      <c r="F138">
        <f>SUM(F115:F137)</f>
        <v>0</v>
      </c>
      <c r="G138">
        <f>SUM(G115:G137)</f>
        <v>0</v>
      </c>
      <c r="H138">
        <f>PRODUCT(H115:H137)</f>
        <v>0.7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AH143"/>
  <sheetViews>
    <sheetView tabSelected="1" zoomScaleNormal="100" workbookViewId="0">
      <selection activeCell="B1" sqref="B1"/>
    </sheetView>
  </sheetViews>
  <sheetFormatPr defaultRowHeight="15" x14ac:dyDescent="0.25"/>
  <cols>
    <col min="3" max="3" width="19.5703125" customWidth="1"/>
  </cols>
  <sheetData>
    <row r="3" spans="2:31" x14ac:dyDescent="0.25">
      <c r="B3" t="s">
        <v>295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Q3" t="s">
        <v>236</v>
      </c>
      <c r="R3" t="s">
        <v>4</v>
      </c>
      <c r="U3" t="s">
        <v>5</v>
      </c>
      <c r="X3" t="s">
        <v>134</v>
      </c>
      <c r="Z3" t="s">
        <v>157</v>
      </c>
      <c r="AC3" t="s">
        <v>28</v>
      </c>
    </row>
    <row r="4" spans="2:31" x14ac:dyDescent="0.25">
      <c r="B4" t="s">
        <v>6</v>
      </c>
      <c r="C4">
        <v>9</v>
      </c>
      <c r="E4" t="s">
        <v>124</v>
      </c>
      <c r="F4">
        <v>6.7399999999999993</v>
      </c>
      <c r="H4" t="s">
        <v>7</v>
      </c>
      <c r="I4">
        <v>616.28</v>
      </c>
      <c r="J4">
        <v>84.25</v>
      </c>
      <c r="L4" t="s">
        <v>7</v>
      </c>
      <c r="M4">
        <f>I4+J4*$F$4</f>
        <v>1184.125</v>
      </c>
      <c r="O4" t="s">
        <v>9</v>
      </c>
      <c r="P4">
        <f>L90+M8</f>
        <v>128.21</v>
      </c>
      <c r="Q4">
        <v>1</v>
      </c>
      <c r="R4" t="s">
        <v>10</v>
      </c>
      <c r="S4">
        <v>8.5</v>
      </c>
      <c r="U4" t="s">
        <v>10</v>
      </c>
      <c r="V4">
        <v>0</v>
      </c>
      <c r="X4">
        <v>600</v>
      </c>
      <c r="Z4" t="s">
        <v>19</v>
      </c>
      <c r="AA4">
        <f>I9</f>
        <v>0.625</v>
      </c>
      <c r="AC4" t="s">
        <v>158</v>
      </c>
      <c r="AE4">
        <v>11.52</v>
      </c>
    </row>
    <row r="5" spans="2:31" x14ac:dyDescent="0.25">
      <c r="H5" t="s">
        <v>120</v>
      </c>
      <c r="I5">
        <v>7.84</v>
      </c>
      <c r="J5">
        <v>0.5</v>
      </c>
      <c r="L5" t="s">
        <v>120</v>
      </c>
      <c r="M5">
        <f t="shared" ref="M5:M12" si="0">I5+J5*$F$4</f>
        <v>11.209999999999999</v>
      </c>
      <c r="O5" t="s">
        <v>12</v>
      </c>
      <c r="P5">
        <f>M9+I9*M90</f>
        <v>0.73873750000000005</v>
      </c>
      <c r="R5" t="s">
        <v>13</v>
      </c>
      <c r="S5">
        <v>0</v>
      </c>
      <c r="U5" t="s">
        <v>13</v>
      </c>
      <c r="V5">
        <v>0</v>
      </c>
      <c r="Z5" t="s">
        <v>168</v>
      </c>
      <c r="AA5">
        <f>F4*J9</f>
        <v>0.18197999999999998</v>
      </c>
      <c r="AC5" t="s">
        <v>91</v>
      </c>
      <c r="AE5">
        <v>0</v>
      </c>
    </row>
    <row r="6" spans="2:31" x14ac:dyDescent="0.25">
      <c r="H6" t="s">
        <v>121</v>
      </c>
      <c r="L6" t="s">
        <v>121</v>
      </c>
      <c r="M6">
        <f t="shared" si="0"/>
        <v>0</v>
      </c>
      <c r="R6" t="s">
        <v>16</v>
      </c>
      <c r="S6">
        <f>L90</f>
        <v>40</v>
      </c>
      <c r="U6" t="s">
        <v>16</v>
      </c>
      <c r="V6">
        <v>0</v>
      </c>
      <c r="Z6" t="s">
        <v>10</v>
      </c>
      <c r="AA6">
        <v>0</v>
      </c>
      <c r="AC6" t="s">
        <v>393</v>
      </c>
      <c r="AE6">
        <f>G143</f>
        <v>0</v>
      </c>
    </row>
    <row r="7" spans="2:31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L7" t="s">
        <v>122</v>
      </c>
      <c r="M7">
        <f t="shared" si="0"/>
        <v>0</v>
      </c>
      <c r="O7" t="s">
        <v>7</v>
      </c>
      <c r="P7">
        <f>M4+L20</f>
        <v>1184.125</v>
      </c>
      <c r="R7" s="2"/>
      <c r="Z7" t="s">
        <v>158</v>
      </c>
      <c r="AA7">
        <v>0</v>
      </c>
      <c r="AC7" t="s">
        <v>394</v>
      </c>
      <c r="AE7">
        <f>H143</f>
        <v>0.7</v>
      </c>
    </row>
    <row r="8" spans="2:31" x14ac:dyDescent="0.25">
      <c r="B8" t="s">
        <v>25</v>
      </c>
      <c r="C8">
        <v>5</v>
      </c>
      <c r="D8">
        <f>5+25*C8</f>
        <v>130</v>
      </c>
      <c r="E8">
        <f>0.4*S10</f>
        <v>54.684000000000005</v>
      </c>
      <c r="F8">
        <f>E8+D8</f>
        <v>184.684</v>
      </c>
      <c r="H8" t="s">
        <v>8</v>
      </c>
      <c r="I8">
        <v>57.88</v>
      </c>
      <c r="J8">
        <v>4.5</v>
      </c>
      <c r="L8" t="s">
        <v>8</v>
      </c>
      <c r="M8">
        <f t="shared" si="0"/>
        <v>88.210000000000008</v>
      </c>
      <c r="O8" t="s">
        <v>120</v>
      </c>
      <c r="P8">
        <f>(M5+M5*M20+N20+V18*0.01)*(1+0.2*B30)</f>
        <v>23.7664875</v>
      </c>
      <c r="R8" t="s">
        <v>26</v>
      </c>
      <c r="S8">
        <f>SUM(S4:S7)</f>
        <v>48.5</v>
      </c>
      <c r="U8" t="s">
        <v>26</v>
      </c>
      <c r="V8">
        <f>SUM(V4:V7)</f>
        <v>0</v>
      </c>
      <c r="Z8" t="s">
        <v>159</v>
      </c>
      <c r="AA8">
        <f>M90</f>
        <v>0</v>
      </c>
    </row>
    <row r="9" spans="2:31" x14ac:dyDescent="0.25">
      <c r="H9" t="s">
        <v>14</v>
      </c>
      <c r="I9">
        <v>0.625</v>
      </c>
      <c r="J9">
        <v>2.7E-2</v>
      </c>
      <c r="L9" t="s">
        <v>14</v>
      </c>
      <c r="M9">
        <f>I9+I9*J9*$F$4</f>
        <v>0.73873750000000005</v>
      </c>
      <c r="O9" t="s">
        <v>15</v>
      </c>
      <c r="P9">
        <f>M10+J20</f>
        <v>47.756</v>
      </c>
    </row>
    <row r="10" spans="2:31" x14ac:dyDescent="0.25">
      <c r="H10" t="s">
        <v>15</v>
      </c>
      <c r="I10">
        <v>27.536000000000001</v>
      </c>
      <c r="J10">
        <v>3</v>
      </c>
      <c r="L10" t="s">
        <v>15</v>
      </c>
      <c r="M10">
        <f t="shared" si="0"/>
        <v>47.756</v>
      </c>
      <c r="O10" t="s">
        <v>23</v>
      </c>
      <c r="P10">
        <f>M11+K20</f>
        <v>40.524999999999999</v>
      </c>
      <c r="R10" t="s">
        <v>31</v>
      </c>
      <c r="S10">
        <f>S6+S4+S5+M8</f>
        <v>136.71</v>
      </c>
      <c r="U10" t="s">
        <v>32</v>
      </c>
      <c r="V10">
        <v>0</v>
      </c>
      <c r="Z10" t="s">
        <v>160</v>
      </c>
      <c r="AA10">
        <f>(1+SUM(AA5:AA8))*AA4</f>
        <v>0.73873750000000005</v>
      </c>
      <c r="AC10" t="s">
        <v>395</v>
      </c>
      <c r="AE10">
        <f>(1-AE5)*AE7</f>
        <v>0.7</v>
      </c>
    </row>
    <row r="11" spans="2:31" x14ac:dyDescent="0.25">
      <c r="B11" t="s">
        <v>29</v>
      </c>
      <c r="C11">
        <v>2</v>
      </c>
      <c r="H11" t="s">
        <v>23</v>
      </c>
      <c r="I11">
        <v>32.1</v>
      </c>
      <c r="J11">
        <v>1.25</v>
      </c>
      <c r="L11" t="s">
        <v>23</v>
      </c>
      <c r="M11">
        <f t="shared" si="0"/>
        <v>40.524999999999999</v>
      </c>
      <c r="O11" t="s">
        <v>91</v>
      </c>
      <c r="AC11" t="s">
        <v>396</v>
      </c>
      <c r="AE11">
        <f>AE6+AE4</f>
        <v>11.52</v>
      </c>
    </row>
    <row r="12" spans="2:31" x14ac:dyDescent="0.25">
      <c r="H12" t="s">
        <v>123</v>
      </c>
      <c r="I12">
        <v>345</v>
      </c>
      <c r="L12" t="s">
        <v>123</v>
      </c>
      <c r="M12">
        <f t="shared" si="0"/>
        <v>345</v>
      </c>
      <c r="O12" t="s">
        <v>277</v>
      </c>
      <c r="P12">
        <v>0</v>
      </c>
      <c r="R12" t="s">
        <v>86</v>
      </c>
      <c r="U12" t="s">
        <v>88</v>
      </c>
      <c r="X12" t="s">
        <v>95</v>
      </c>
    </row>
    <row r="13" spans="2:31" x14ac:dyDescent="0.25">
      <c r="O13" t="s">
        <v>92</v>
      </c>
      <c r="P13">
        <v>0</v>
      </c>
      <c r="R13" t="s">
        <v>2</v>
      </c>
      <c r="S13">
        <f>M10</f>
        <v>47.756</v>
      </c>
      <c r="U13" t="s">
        <v>2</v>
      </c>
      <c r="V13">
        <f>M4</f>
        <v>1184.125</v>
      </c>
      <c r="X13" t="s">
        <v>2</v>
      </c>
      <c r="Y13">
        <f>M11</f>
        <v>40.524999999999999</v>
      </c>
    </row>
    <row r="14" spans="2:31" x14ac:dyDescent="0.25">
      <c r="B14" t="s">
        <v>33</v>
      </c>
      <c r="C14">
        <v>1</v>
      </c>
      <c r="D14">
        <f>(11.25+3.75*C14)*C15</f>
        <v>105</v>
      </c>
      <c r="E14">
        <f>(0.3375+0.0075*C14)*S10*(1+F143*(0.5+0.5*B90))*C15</f>
        <v>330.15465000000006</v>
      </c>
      <c r="F14">
        <f>E14+D14</f>
        <v>435.15465000000006</v>
      </c>
      <c r="O14" t="s">
        <v>93</v>
      </c>
      <c r="P14">
        <v>1</v>
      </c>
      <c r="R14" t="s">
        <v>10</v>
      </c>
      <c r="S14">
        <f>P12+2*P15</f>
        <v>0</v>
      </c>
      <c r="U14" t="s">
        <v>16</v>
      </c>
      <c r="V14">
        <f>L20</f>
        <v>0</v>
      </c>
      <c r="X14" t="s">
        <v>10</v>
      </c>
      <c r="Y14">
        <v>0</v>
      </c>
      <c r="AA14" t="s">
        <v>419</v>
      </c>
      <c r="AB14">
        <v>0</v>
      </c>
    </row>
    <row r="15" spans="2:31" x14ac:dyDescent="0.25">
      <c r="C15">
        <f>FLOOR((C4-1)/3,1)+5</f>
        <v>7</v>
      </c>
      <c r="O15" t="s">
        <v>94</v>
      </c>
      <c r="P15">
        <v>0</v>
      </c>
      <c r="R15" t="s">
        <v>13</v>
      </c>
      <c r="S15">
        <f>P16+3*P17/18*C4</f>
        <v>13.5</v>
      </c>
      <c r="U15" t="s">
        <v>158</v>
      </c>
      <c r="V15">
        <f>(24*P18/18*C4)</f>
        <v>0</v>
      </c>
      <c r="X15" t="s">
        <v>13</v>
      </c>
      <c r="Y15">
        <f>AB15*3/18*C4+AB14</f>
        <v>13.5</v>
      </c>
      <c r="AA15" t="s">
        <v>418</v>
      </c>
      <c r="AB15">
        <v>9</v>
      </c>
    </row>
    <row r="16" spans="2:31" x14ac:dyDescent="0.25">
      <c r="B16" t="s">
        <v>34</v>
      </c>
      <c r="C16">
        <v>1</v>
      </c>
      <c r="D16">
        <f>175*C16</f>
        <v>175</v>
      </c>
      <c r="E16">
        <f>(1/(4-0.5*C16))*E17</f>
        <v>714.28571428571422</v>
      </c>
      <c r="F16">
        <f>E16+D16</f>
        <v>889.28571428571422</v>
      </c>
      <c r="G16" t="s">
        <v>0</v>
      </c>
      <c r="N16" t="s">
        <v>158</v>
      </c>
      <c r="O16" t="s">
        <v>216</v>
      </c>
      <c r="P16">
        <v>0</v>
      </c>
      <c r="R16" t="s">
        <v>16</v>
      </c>
      <c r="S16">
        <f>J20</f>
        <v>0</v>
      </c>
      <c r="U16" t="s">
        <v>10</v>
      </c>
      <c r="V16">
        <f>36+0.03*(V13+V14+V15)*P14</f>
        <v>71.523750000000007</v>
      </c>
      <c r="X16" t="s">
        <v>16</v>
      </c>
      <c r="Y16">
        <f>K20</f>
        <v>0</v>
      </c>
    </row>
    <row r="17" spans="1:34" x14ac:dyDescent="0.25">
      <c r="D17" t="s">
        <v>296</v>
      </c>
      <c r="E17">
        <v>2500</v>
      </c>
      <c r="O17" t="s">
        <v>217</v>
      </c>
      <c r="P17">
        <v>9</v>
      </c>
      <c r="R17" s="2"/>
      <c r="S17" s="2"/>
      <c r="X17" s="2"/>
    </row>
    <row r="18" spans="1:34" x14ac:dyDescent="0.25">
      <c r="J18" s="2" t="s">
        <v>40</v>
      </c>
      <c r="O18" t="s">
        <v>357</v>
      </c>
      <c r="P18">
        <v>0</v>
      </c>
      <c r="R18" t="s">
        <v>10</v>
      </c>
      <c r="S18">
        <f>P13*0.025*SUM(S14:S17)</f>
        <v>0</v>
      </c>
      <c r="U18" t="s">
        <v>89</v>
      </c>
      <c r="V18">
        <f>SUM(V13:V16)</f>
        <v>1255.6487500000001</v>
      </c>
      <c r="X18" t="s">
        <v>10</v>
      </c>
      <c r="Y18">
        <f>P13*0.025*SUM(Y14:Y17)</f>
        <v>0</v>
      </c>
    </row>
    <row r="19" spans="1:34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  <c r="R19" s="2" t="s">
        <v>293</v>
      </c>
      <c r="S19" s="2">
        <f>MIN(30,30*C4*C4/121)</f>
        <v>20.082644628099175</v>
      </c>
      <c r="X19" s="2" t="s">
        <v>293</v>
      </c>
      <c r="Y19" s="2">
        <f>MIN(30,30*C4/11)</f>
        <v>24.545454545454547</v>
      </c>
    </row>
    <row r="20" spans="1:34" x14ac:dyDescent="0.25">
      <c r="C20" t="s">
        <v>74</v>
      </c>
      <c r="F20">
        <v>1000</v>
      </c>
      <c r="J20">
        <f>D85</f>
        <v>0</v>
      </c>
      <c r="K20">
        <f>E85</f>
        <v>0</v>
      </c>
      <c r="L20">
        <f>F85*(1+0.25*B38)</f>
        <v>0</v>
      </c>
      <c r="M20">
        <f>G85</f>
        <v>0</v>
      </c>
      <c r="N20">
        <f>H85</f>
        <v>0</v>
      </c>
      <c r="R20" t="s">
        <v>90</v>
      </c>
      <c r="S20">
        <f>SUM(S13:S19)</f>
        <v>81.338644628099175</v>
      </c>
      <c r="X20" t="s">
        <v>96</v>
      </c>
      <c r="Y20">
        <f>SUM(Y13:Y19)</f>
        <v>78.570454545454538</v>
      </c>
      <c r="AD20" t="s">
        <v>301</v>
      </c>
    </row>
    <row r="21" spans="1:34" x14ac:dyDescent="0.25">
      <c r="C21" t="s">
        <v>117</v>
      </c>
      <c r="F21">
        <v>800</v>
      </c>
      <c r="H21">
        <f>V18*0.03</f>
        <v>37.669462500000002</v>
      </c>
      <c r="R21" s="2" t="s">
        <v>424</v>
      </c>
      <c r="S21">
        <f>SUM(S14:S19)</f>
        <v>33.582644628099175</v>
      </c>
    </row>
    <row r="22" spans="1:34" x14ac:dyDescent="0.25">
      <c r="C22" t="s">
        <v>75</v>
      </c>
      <c r="F22">
        <v>700</v>
      </c>
      <c r="R22" t="s">
        <v>98</v>
      </c>
      <c r="S22" t="s">
        <v>99</v>
      </c>
      <c r="T22" t="s">
        <v>425</v>
      </c>
      <c r="U22" t="s">
        <v>100</v>
      </c>
      <c r="V22" t="s">
        <v>101</v>
      </c>
      <c r="W22">
        <v>4.1900000000000004</v>
      </c>
      <c r="X22">
        <v>5.3</v>
      </c>
      <c r="Y22" t="s">
        <v>118</v>
      </c>
      <c r="AB22" t="s">
        <v>298</v>
      </c>
      <c r="AD22" t="s">
        <v>299</v>
      </c>
      <c r="AF22" t="s">
        <v>300</v>
      </c>
      <c r="AH22" t="s">
        <v>302</v>
      </c>
    </row>
    <row r="23" spans="1:34" x14ac:dyDescent="0.25">
      <c r="C23" t="s">
        <v>80</v>
      </c>
      <c r="F23">
        <v>650</v>
      </c>
      <c r="P23" s="2" t="s">
        <v>97</v>
      </c>
      <c r="R23">
        <v>0</v>
      </c>
      <c r="S23">
        <v>0</v>
      </c>
      <c r="T23">
        <v>0</v>
      </c>
      <c r="U23">
        <f>$S$20*(1-S23)-R23</f>
        <v>81.338644628099175</v>
      </c>
      <c r="V23">
        <f>$V$18*(100+U23)/100</f>
        <v>2276.97642453967</v>
      </c>
      <c r="W23">
        <v>20715.592674699998</v>
      </c>
      <c r="X23">
        <v>16960</v>
      </c>
      <c r="Y23">
        <f>($V$18+$B$31*(50+10*$C$4))*(100+U23)/100</f>
        <v>2276.97642453967</v>
      </c>
      <c r="Z23">
        <f>Y23/W23</f>
        <v>0.10991606469075571</v>
      </c>
      <c r="AB23">
        <f>Y23/0.7</f>
        <v>3252.8234636281004</v>
      </c>
      <c r="AD23">
        <f>0.7*U23-30</f>
        <v>26.937051239669415</v>
      </c>
      <c r="AF23">
        <f>100/70*(100+U23)-100</f>
        <v>159.05520661157027</v>
      </c>
      <c r="AH23">
        <f>AF23-U23</f>
        <v>77.716561983471095</v>
      </c>
    </row>
    <row r="24" spans="1:34" x14ac:dyDescent="0.25">
      <c r="C24" t="s">
        <v>413</v>
      </c>
      <c r="D24">
        <v>50</v>
      </c>
      <c r="F24">
        <v>500</v>
      </c>
      <c r="J24" s="2"/>
      <c r="K24" s="2" t="s">
        <v>42</v>
      </c>
      <c r="R24">
        <v>0</v>
      </c>
      <c r="S24">
        <v>7.0000000000000007E-2</v>
      </c>
      <c r="T24">
        <v>0.45</v>
      </c>
      <c r="U24">
        <f>($S$21*(1-T24)+$S$13)*(1-S24)-R24</f>
        <v>61.590602727272724</v>
      </c>
      <c r="V24">
        <f>$V$18*(100+U24)/100</f>
        <v>2029.0103832624657</v>
      </c>
      <c r="Y24">
        <f>($V$18+$B$31*(50+10*$C$4))*(100+U24)/100</f>
        <v>2029.0103832624657</v>
      </c>
      <c r="AB24">
        <f>Y24/0.7</f>
        <v>2898.5862618035226</v>
      </c>
      <c r="AD24">
        <f>0.7*U24-30</f>
        <v>13.113421909090903</v>
      </c>
      <c r="AF24">
        <f>100/70*(100+U24)-100</f>
        <v>130.84371818181816</v>
      </c>
      <c r="AH24">
        <f>AF24-U24</f>
        <v>69.253115454545437</v>
      </c>
    </row>
    <row r="25" spans="1:34" x14ac:dyDescent="0.25">
      <c r="A25">
        <v>1</v>
      </c>
      <c r="C25" t="s">
        <v>76</v>
      </c>
      <c r="D25">
        <v>60</v>
      </c>
      <c r="F25">
        <v>500</v>
      </c>
      <c r="K25" t="s">
        <v>346</v>
      </c>
      <c r="M25">
        <f>M97</f>
        <v>136.71</v>
      </c>
      <c r="R25">
        <v>20</v>
      </c>
      <c r="S25">
        <v>7.0000000000000007E-2</v>
      </c>
      <c r="T25">
        <v>0</v>
      </c>
      <c r="U25">
        <f>($S$21*(1-T25)+$S$13)*(1-S25)-R25</f>
        <v>55.644939504132225</v>
      </c>
      <c r="V25">
        <f>$V$18*(100+U25)/100</f>
        <v>1954.3537373218926</v>
      </c>
      <c r="Y25">
        <f>($V$18+$B$31*(50+10*$C$4))*(100+U25)/100</f>
        <v>1954.3537373218926</v>
      </c>
      <c r="AB25">
        <f>Y25/0.7</f>
        <v>2791.9339104598466</v>
      </c>
      <c r="AD25">
        <f>0.7*U25-30</f>
        <v>8.9514576528925573</v>
      </c>
      <c r="AF25">
        <f>100/70*(100+U25)-100</f>
        <v>122.34991357733176</v>
      </c>
      <c r="AH25">
        <f>AF25-U25</f>
        <v>66.704974073199537</v>
      </c>
    </row>
    <row r="26" spans="1:34" x14ac:dyDescent="0.25">
      <c r="C26" t="s">
        <v>83</v>
      </c>
      <c r="F26">
        <v>500</v>
      </c>
      <c r="G26">
        <v>1</v>
      </c>
      <c r="K26" t="s">
        <v>25</v>
      </c>
      <c r="M26">
        <f>F8</f>
        <v>184.684</v>
      </c>
      <c r="R26">
        <v>20</v>
      </c>
      <c r="S26">
        <f>1-(0.93*0.7)</f>
        <v>0.34899999999999998</v>
      </c>
      <c r="T26">
        <v>0</v>
      </c>
      <c r="U26">
        <f>($S$21*(1-T26)+$S$13)*(1-S26)-R26</f>
        <v>32.951457652892564</v>
      </c>
      <c r="V26">
        <f>$V$18*(100+U26)/100</f>
        <v>1669.4033161253249</v>
      </c>
      <c r="Y26">
        <f>($V$18+$B$31*(50+10*$C$4))*(100+U26)/100</f>
        <v>1669.4033161253249</v>
      </c>
      <c r="AB26">
        <f>Y26/0.7</f>
        <v>2384.8618801790358</v>
      </c>
      <c r="AD26">
        <f>0.7*U26-30</f>
        <v>-6.9339796429752063</v>
      </c>
      <c r="AF26">
        <f>100/70*(100+U26)-100</f>
        <v>89.930653789846531</v>
      </c>
      <c r="AH26">
        <f>AF26-U26</f>
        <v>56.979196136953966</v>
      </c>
    </row>
    <row r="27" spans="1:34" x14ac:dyDescent="0.25">
      <c r="C27" t="s">
        <v>412</v>
      </c>
      <c r="F27">
        <v>400</v>
      </c>
      <c r="K27" t="s">
        <v>33</v>
      </c>
      <c r="M27">
        <f>F14</f>
        <v>435.15465000000006</v>
      </c>
      <c r="R27">
        <v>10</v>
      </c>
      <c r="S27">
        <v>0.34899999999999998</v>
      </c>
      <c r="T27">
        <v>0.45</v>
      </c>
      <c r="U27">
        <f>($S$21*(1-T27)+$S$13)*(1-S27)-R27</f>
        <v>33.11342190909091</v>
      </c>
      <c r="V27">
        <f>$V$18*(100+U27)/100</f>
        <v>1671.437018283726</v>
      </c>
      <c r="W27">
        <v>12376.585678916252</v>
      </c>
      <c r="Y27">
        <f>($V$18+$B$31*(50+10*$C$4))*(100+U27)/100</f>
        <v>1671.437018283726</v>
      </c>
      <c r="Z27">
        <f>Y27/W27</f>
        <v>0.13504831313300328</v>
      </c>
      <c r="AB27">
        <f>Y27/0.7</f>
        <v>2387.7671689767517</v>
      </c>
      <c r="AD27">
        <f>0.7*U27-30</f>
        <v>-6.8206046636363631</v>
      </c>
      <c r="AF27">
        <f>100/70*(100+U27)-100</f>
        <v>90.162031298701294</v>
      </c>
      <c r="AH27">
        <f>AF27-U27</f>
        <v>57.048609389610384</v>
      </c>
    </row>
    <row r="28" spans="1:34" x14ac:dyDescent="0.25">
      <c r="A28">
        <v>1</v>
      </c>
      <c r="C28" t="s">
        <v>77</v>
      </c>
      <c r="D28">
        <v>50</v>
      </c>
      <c r="F28">
        <v>500</v>
      </c>
      <c r="K28" s="3" t="s">
        <v>323</v>
      </c>
      <c r="M28">
        <f>2*M8*B102*(1+0.25*B96)</f>
        <v>0</v>
      </c>
    </row>
    <row r="29" spans="1:34" x14ac:dyDescent="0.25">
      <c r="A29">
        <v>1</v>
      </c>
      <c r="C29" t="s">
        <v>78</v>
      </c>
      <c r="E29">
        <v>60</v>
      </c>
      <c r="F29">
        <v>450</v>
      </c>
      <c r="G29">
        <v>1</v>
      </c>
      <c r="K29" s="3" t="s">
        <v>356</v>
      </c>
      <c r="M29">
        <f>M97*B110</f>
        <v>0</v>
      </c>
    </row>
    <row r="30" spans="1:34" x14ac:dyDescent="0.25">
      <c r="A30">
        <v>1</v>
      </c>
      <c r="C30" t="s">
        <v>79</v>
      </c>
      <c r="E30">
        <v>70</v>
      </c>
      <c r="F30">
        <v>450</v>
      </c>
      <c r="G30">
        <v>1</v>
      </c>
      <c r="K30" t="s">
        <v>347</v>
      </c>
      <c r="M30">
        <f>2*M25+M26+M27</f>
        <v>893.2586500000001</v>
      </c>
    </row>
    <row r="31" spans="1:34" x14ac:dyDescent="0.25">
      <c r="A31">
        <v>1</v>
      </c>
      <c r="C31" t="s">
        <v>81</v>
      </c>
      <c r="E31">
        <v>40</v>
      </c>
      <c r="F31">
        <v>400</v>
      </c>
      <c r="G31">
        <v>0.75</v>
      </c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  <c r="X31">
        <v>5.3</v>
      </c>
      <c r="AD31" t="s">
        <v>299</v>
      </c>
      <c r="AF31" t="s">
        <v>300</v>
      </c>
      <c r="AH31" t="s">
        <v>302</v>
      </c>
    </row>
    <row r="32" spans="1:34" x14ac:dyDescent="0.25">
      <c r="C32" t="s">
        <v>82</v>
      </c>
      <c r="F32">
        <v>400</v>
      </c>
      <c r="K32" s="2" t="s">
        <v>348</v>
      </c>
      <c r="M32">
        <v>1</v>
      </c>
      <c r="R32">
        <v>0</v>
      </c>
      <c r="S32">
        <v>0.06</v>
      </c>
      <c r="U32">
        <f t="shared" ref="U32:U37" si="1">$Y$20*(1-S32)-R32</f>
        <v>73.856227272727267</v>
      </c>
      <c r="V32">
        <f t="shared" ref="V32:V37" si="2">$V$18*(100+U32)/100</f>
        <v>2183.023544547159</v>
      </c>
      <c r="W32">
        <v>11332.5147474</v>
      </c>
      <c r="X32">
        <v>14352</v>
      </c>
      <c r="Y32">
        <f t="shared" ref="Y32:Y37" si="3">($V$18+$B$31*(50+10*$C$4))*(100+U32)/100</f>
        <v>2183.023544547159</v>
      </c>
      <c r="Z32">
        <f>Y32/W32</f>
        <v>0.19263363809414025</v>
      </c>
      <c r="AB32">
        <f t="shared" ref="AB32:AB37" si="4">Y32/0.7</f>
        <v>3118.6050636387986</v>
      </c>
      <c r="AD32">
        <f t="shared" ref="AD32:AD37" si="5">0.7*U32-30</f>
        <v>21.699359090909084</v>
      </c>
      <c r="AF32">
        <f t="shared" ref="AF32:AF37" si="6">100/70*(100+U32)-100</f>
        <v>148.36603896103895</v>
      </c>
      <c r="AH32">
        <f t="shared" ref="AH32:AH37" si="7">AF32-U32</f>
        <v>74.509811688311686</v>
      </c>
    </row>
    <row r="33" spans="1:34" x14ac:dyDescent="0.25">
      <c r="C33" t="s">
        <v>84</v>
      </c>
      <c r="F33">
        <v>380</v>
      </c>
      <c r="K33" t="s">
        <v>349</v>
      </c>
      <c r="M33">
        <v>0.06</v>
      </c>
      <c r="R33">
        <v>0</v>
      </c>
      <c r="S33">
        <v>0.38900000000000001</v>
      </c>
      <c r="U33">
        <f t="shared" si="1"/>
        <v>48.006547727272725</v>
      </c>
      <c r="V33">
        <f t="shared" si="2"/>
        <v>1858.4423664556537</v>
      </c>
      <c r="Y33">
        <f t="shared" si="3"/>
        <v>1858.4423664556537</v>
      </c>
      <c r="AB33">
        <f t="shared" si="4"/>
        <v>2654.9176663652197</v>
      </c>
      <c r="AD33">
        <f t="shared" si="5"/>
        <v>3.6045834090909068</v>
      </c>
      <c r="AF33">
        <f t="shared" si="6"/>
        <v>111.43792532467535</v>
      </c>
      <c r="AH33">
        <f t="shared" si="7"/>
        <v>63.431377597402623</v>
      </c>
    </row>
    <row r="34" spans="1:34" x14ac:dyDescent="0.25">
      <c r="C34" t="s">
        <v>278</v>
      </c>
      <c r="D34">
        <v>50</v>
      </c>
      <c r="F34">
        <v>300</v>
      </c>
      <c r="G34">
        <v>1</v>
      </c>
      <c r="K34" t="s">
        <v>350</v>
      </c>
      <c r="M34">
        <f>0.3*B106</f>
        <v>0.3</v>
      </c>
      <c r="R34">
        <v>15</v>
      </c>
      <c r="S34">
        <v>0.06</v>
      </c>
      <c r="U34">
        <f t="shared" si="1"/>
        <v>58.856227272727267</v>
      </c>
      <c r="V34">
        <f t="shared" si="2"/>
        <v>1994.6762320471589</v>
      </c>
      <c r="Y34">
        <f t="shared" si="3"/>
        <v>1994.6762320471589</v>
      </c>
      <c r="AB34">
        <f t="shared" si="4"/>
        <v>2849.5374743530842</v>
      </c>
      <c r="AD34">
        <f t="shared" si="5"/>
        <v>11.199359090909084</v>
      </c>
      <c r="AF34">
        <f t="shared" si="6"/>
        <v>126.93746753246754</v>
      </c>
      <c r="AH34">
        <f t="shared" si="7"/>
        <v>68.081240259740269</v>
      </c>
    </row>
    <row r="35" spans="1:34" x14ac:dyDescent="0.25">
      <c r="C35" t="s">
        <v>59</v>
      </c>
      <c r="F35">
        <v>250</v>
      </c>
      <c r="K35" t="s">
        <v>351</v>
      </c>
      <c r="M35">
        <f>0.35*B93</f>
        <v>0</v>
      </c>
      <c r="R35">
        <v>15</v>
      </c>
      <c r="S35">
        <v>0.38900000000000001</v>
      </c>
      <c r="U35">
        <f t="shared" si="1"/>
        <v>33.006547727272725</v>
      </c>
      <c r="V35">
        <f t="shared" si="2"/>
        <v>1670.0950539556536</v>
      </c>
      <c r="Y35">
        <f t="shared" si="3"/>
        <v>1670.0950539556536</v>
      </c>
      <c r="AB35">
        <f t="shared" si="4"/>
        <v>2385.8500770795054</v>
      </c>
      <c r="AD35">
        <f t="shared" si="5"/>
        <v>-6.8954165909090932</v>
      </c>
      <c r="AF35">
        <f t="shared" si="6"/>
        <v>90.009353896103903</v>
      </c>
      <c r="AH35">
        <f t="shared" si="7"/>
        <v>57.002806168831178</v>
      </c>
    </row>
    <row r="36" spans="1:34" x14ac:dyDescent="0.25">
      <c r="C36" t="s">
        <v>240</v>
      </c>
      <c r="E36">
        <v>40</v>
      </c>
      <c r="F36">
        <v>200</v>
      </c>
      <c r="K36" t="s">
        <v>352</v>
      </c>
      <c r="M36">
        <f>(1-M33)*(1-M34)*(1-M35)</f>
        <v>0.65799999999999992</v>
      </c>
      <c r="O36">
        <v>300</v>
      </c>
      <c r="P36">
        <v>200</v>
      </c>
      <c r="Q36">
        <v>100</v>
      </c>
      <c r="R36">
        <v>30</v>
      </c>
      <c r="S36">
        <v>0.06</v>
      </c>
      <c r="U36">
        <f t="shared" si="1"/>
        <v>43.856227272727267</v>
      </c>
      <c r="V36">
        <f t="shared" si="2"/>
        <v>1806.3289195471591</v>
      </c>
      <c r="Y36">
        <f t="shared" si="3"/>
        <v>1806.3289195471591</v>
      </c>
      <c r="AB36">
        <f t="shared" si="4"/>
        <v>2580.4698850673703</v>
      </c>
      <c r="AD36">
        <f t="shared" si="5"/>
        <v>0.6993590909090841</v>
      </c>
      <c r="AF36">
        <f t="shared" si="6"/>
        <v>105.50889610389609</v>
      </c>
      <c r="AH36">
        <f t="shared" si="7"/>
        <v>61.652668831168825</v>
      </c>
    </row>
    <row r="37" spans="1:34" x14ac:dyDescent="0.25">
      <c r="C37" t="s">
        <v>107</v>
      </c>
      <c r="F37">
        <v>150</v>
      </c>
      <c r="I37">
        <f>(V14+V16+V15)*0.25</f>
        <v>17.880937500000002</v>
      </c>
      <c r="K37" t="s">
        <v>354</v>
      </c>
      <c r="M37">
        <v>11.52</v>
      </c>
      <c r="N37" s="1" t="s">
        <v>410</v>
      </c>
      <c r="O37">
        <v>526.70000000000005</v>
      </c>
      <c r="P37">
        <v>684.1</v>
      </c>
      <c r="Q37">
        <v>975.9</v>
      </c>
      <c r="R37">
        <v>30</v>
      </c>
      <c r="S37">
        <v>0.38900000000000001</v>
      </c>
      <c r="U37">
        <f t="shared" si="1"/>
        <v>18.006547727272725</v>
      </c>
      <c r="V37">
        <f t="shared" si="2"/>
        <v>1481.7477414556533</v>
      </c>
      <c r="W37">
        <v>7642.2235858100003</v>
      </c>
      <c r="Y37">
        <f t="shared" si="3"/>
        <v>1481.7477414556533</v>
      </c>
      <c r="Z37">
        <f>Y37/W37</f>
        <v>0.19388960880534126</v>
      </c>
      <c r="AB37">
        <f t="shared" si="4"/>
        <v>2116.7824877937906</v>
      </c>
      <c r="AD37">
        <f t="shared" si="5"/>
        <v>-17.395416590909093</v>
      </c>
      <c r="AF37">
        <f t="shared" si="6"/>
        <v>68.580782467532487</v>
      </c>
      <c r="AH37">
        <f t="shared" si="7"/>
        <v>50.574234740259762</v>
      </c>
    </row>
    <row r="38" spans="1:34" x14ac:dyDescent="0.25">
      <c r="C38" t="s">
        <v>85</v>
      </c>
      <c r="F38">
        <v>300</v>
      </c>
      <c r="K38" t="s">
        <v>355</v>
      </c>
      <c r="M38">
        <f>20*B100+10*B105</f>
        <v>0</v>
      </c>
      <c r="N38" s="1" t="s">
        <v>411</v>
      </c>
      <c r="O38">
        <v>522.54999999999995</v>
      </c>
      <c r="P38">
        <v>671</v>
      </c>
      <c r="Q38">
        <v>937.3</v>
      </c>
    </row>
    <row r="39" spans="1:34" x14ac:dyDescent="0.25">
      <c r="C39" t="s">
        <v>115</v>
      </c>
      <c r="F39">
        <v>80</v>
      </c>
      <c r="H39">
        <v>6</v>
      </c>
      <c r="K39" s="2" t="s">
        <v>353</v>
      </c>
      <c r="M39">
        <f>M30*100/(100+M44*M36-IF(M44*M36&gt;M37,M37,M44*M36))</f>
        <v>578.98538371791551</v>
      </c>
      <c r="O39">
        <f>O37/O38</f>
        <v>1.0079418237489237</v>
      </c>
      <c r="P39">
        <f>P37/P38</f>
        <v>1.0195230998509688</v>
      </c>
      <c r="Q39">
        <f>Q37/Q38</f>
        <v>1.0411821188520218</v>
      </c>
      <c r="X39">
        <v>15700</v>
      </c>
      <c r="AA39" t="s">
        <v>285</v>
      </c>
    </row>
    <row r="40" spans="1:34" x14ac:dyDescent="0.25">
      <c r="C40" t="s">
        <v>106</v>
      </c>
      <c r="D40">
        <v>100</v>
      </c>
      <c r="X40">
        <v>14750</v>
      </c>
    </row>
    <row r="41" spans="1:34" x14ac:dyDescent="0.25">
      <c r="C41" t="s">
        <v>105</v>
      </c>
      <c r="D41">
        <v>100</v>
      </c>
      <c r="L41" t="s">
        <v>220</v>
      </c>
      <c r="M41">
        <v>2000</v>
      </c>
      <c r="Q41" t="s">
        <v>226</v>
      </c>
      <c r="R41">
        <v>0</v>
      </c>
    </row>
    <row r="42" spans="1:34" x14ac:dyDescent="0.25">
      <c r="C42" t="s">
        <v>113</v>
      </c>
      <c r="D42">
        <v>50</v>
      </c>
      <c r="L42" t="s">
        <v>221</v>
      </c>
      <c r="M42">
        <v>2200</v>
      </c>
      <c r="Q42" t="s">
        <v>227</v>
      </c>
      <c r="R42">
        <v>0</v>
      </c>
      <c r="U42" t="s">
        <v>149</v>
      </c>
    </row>
    <row r="43" spans="1:34" x14ac:dyDescent="0.25">
      <c r="C43" t="s">
        <v>297</v>
      </c>
      <c r="D43">
        <v>40</v>
      </c>
      <c r="G43">
        <v>1</v>
      </c>
      <c r="L43" t="s">
        <v>89</v>
      </c>
      <c r="M43">
        <v>4400</v>
      </c>
      <c r="Q43" t="s">
        <v>228</v>
      </c>
      <c r="R43">
        <v>20</v>
      </c>
      <c r="T43" t="s">
        <v>388</v>
      </c>
      <c r="U43">
        <v>7</v>
      </c>
      <c r="V43">
        <f>(36+625.64+98*U43)*1.03</f>
        <v>1388.0691999999999</v>
      </c>
    </row>
    <row r="44" spans="1:34" x14ac:dyDescent="0.25">
      <c r="C44" t="s">
        <v>108</v>
      </c>
      <c r="D44">
        <v>40</v>
      </c>
      <c r="L44" t="s">
        <v>277</v>
      </c>
      <c r="M44">
        <v>100</v>
      </c>
      <c r="T44" t="s">
        <v>386</v>
      </c>
      <c r="U44">
        <f>MAX(1.5*U43,12)</f>
        <v>12</v>
      </c>
      <c r="X44" t="s">
        <v>277</v>
      </c>
      <c r="Y44">
        <v>9</v>
      </c>
    </row>
    <row r="45" spans="1:34" x14ac:dyDescent="0.25">
      <c r="A45">
        <v>1</v>
      </c>
      <c r="C45" t="s">
        <v>109</v>
      </c>
      <c r="D45">
        <v>25</v>
      </c>
    </row>
    <row r="46" spans="1:34" x14ac:dyDescent="0.25">
      <c r="C46" t="s">
        <v>114</v>
      </c>
      <c r="D46">
        <v>15</v>
      </c>
      <c r="M46" t="s">
        <v>218</v>
      </c>
      <c r="N46" t="s">
        <v>268</v>
      </c>
      <c r="O46" t="s">
        <v>269</v>
      </c>
      <c r="T46" s="2" t="s">
        <v>309</v>
      </c>
    </row>
    <row r="47" spans="1:34" x14ac:dyDescent="0.25">
      <c r="C47" t="s">
        <v>116</v>
      </c>
      <c r="E47">
        <v>50</v>
      </c>
      <c r="L47" t="s">
        <v>25</v>
      </c>
      <c r="M47">
        <f>F8+M97</f>
        <v>321.39400000000001</v>
      </c>
      <c r="N47">
        <v>8</v>
      </c>
      <c r="O47">
        <f>(1-0.01*$R$43)*N47</f>
        <v>6.4</v>
      </c>
      <c r="T47" s="3" t="s">
        <v>305</v>
      </c>
      <c r="U47" s="3"/>
      <c r="V47" s="3">
        <f>V43</f>
        <v>1388.0691999999999</v>
      </c>
      <c r="X47" t="s">
        <v>307</v>
      </c>
      <c r="Z47">
        <f>V49*175</f>
        <v>175</v>
      </c>
    </row>
    <row r="48" spans="1:34" x14ac:dyDescent="0.25">
      <c r="C48" t="s">
        <v>127</v>
      </c>
      <c r="E48">
        <f>3/18*6*C4</f>
        <v>9</v>
      </c>
      <c r="T48" s="3" t="s">
        <v>304</v>
      </c>
      <c r="U48" s="3"/>
      <c r="V48" s="3">
        <f>M11+U44</f>
        <v>52.524999999999999</v>
      </c>
      <c r="X48" t="s">
        <v>308</v>
      </c>
      <c r="Z48">
        <f>1/(4-0.5*V49)</f>
        <v>0.2857142857142857</v>
      </c>
    </row>
    <row r="49" spans="3:27" x14ac:dyDescent="0.25">
      <c r="C49" t="s">
        <v>119</v>
      </c>
      <c r="D49">
        <v>2</v>
      </c>
      <c r="E49">
        <v>0.9</v>
      </c>
      <c r="F49">
        <v>129</v>
      </c>
      <c r="T49" s="3" t="s">
        <v>306</v>
      </c>
      <c r="U49" s="3"/>
      <c r="V49" s="3">
        <v>1</v>
      </c>
    </row>
    <row r="50" spans="3:27" x14ac:dyDescent="0.25">
      <c r="C50" t="s">
        <v>110</v>
      </c>
      <c r="E50">
        <v>25</v>
      </c>
      <c r="L50" t="s">
        <v>29</v>
      </c>
      <c r="M50">
        <f>F11</f>
        <v>0</v>
      </c>
      <c r="N50">
        <v>12</v>
      </c>
      <c r="O50">
        <f>(1-0.01*$R$43)*N50</f>
        <v>9.6000000000000014</v>
      </c>
    </row>
    <row r="51" spans="3:27" x14ac:dyDescent="0.25">
      <c r="T51" s="2" t="s">
        <v>303</v>
      </c>
      <c r="U51" s="2"/>
      <c r="V51" s="2">
        <f>(Z47/V47+Z48)/((100+V48)/100+Z48)</f>
        <v>0.22738642338302911</v>
      </c>
      <c r="W51">
        <f>V51*V47</f>
        <v>315.62809079614249</v>
      </c>
    </row>
    <row r="53" spans="3:27" x14ac:dyDescent="0.25">
      <c r="C53" s="2" t="s">
        <v>72</v>
      </c>
      <c r="L53" t="s">
        <v>33</v>
      </c>
      <c r="M53">
        <f>F14</f>
        <v>435.15465000000006</v>
      </c>
      <c r="N53">
        <f>14-C14</f>
        <v>13</v>
      </c>
      <c r="O53">
        <f>(1-0.01*$R$43)*N53</f>
        <v>10.4</v>
      </c>
    </row>
    <row r="54" spans="3:27" x14ac:dyDescent="0.25">
      <c r="D54">
        <f t="shared" ref="D54:H63" si="8">D20*$B20</f>
        <v>0</v>
      </c>
      <c r="E54">
        <f t="shared" si="8"/>
        <v>0</v>
      </c>
      <c r="F54">
        <f t="shared" si="8"/>
        <v>0</v>
      </c>
      <c r="G54">
        <f t="shared" si="8"/>
        <v>0</v>
      </c>
      <c r="H54">
        <f t="shared" si="8"/>
        <v>0</v>
      </c>
      <c r="L54" t="s">
        <v>362</v>
      </c>
      <c r="M54" s="2">
        <f>M53+M47</f>
        <v>756.54865000000007</v>
      </c>
    </row>
    <row r="55" spans="3:27" x14ac:dyDescent="0.25">
      <c r="D55">
        <f t="shared" si="8"/>
        <v>0</v>
      </c>
      <c r="E55">
        <f t="shared" si="8"/>
        <v>0</v>
      </c>
      <c r="F55">
        <f t="shared" si="8"/>
        <v>0</v>
      </c>
      <c r="G55">
        <f t="shared" si="8"/>
        <v>0</v>
      </c>
      <c r="H55">
        <f t="shared" si="8"/>
        <v>0</v>
      </c>
      <c r="L55" t="s">
        <v>389</v>
      </c>
      <c r="M55">
        <f>M54+S10</f>
        <v>893.2586500000001</v>
      </c>
    </row>
    <row r="56" spans="3:27" x14ac:dyDescent="0.25">
      <c r="D56">
        <f t="shared" si="8"/>
        <v>0</v>
      </c>
      <c r="E56">
        <f t="shared" si="8"/>
        <v>0</v>
      </c>
      <c r="F56">
        <f t="shared" si="8"/>
        <v>0</v>
      </c>
      <c r="G56">
        <f t="shared" si="8"/>
        <v>0</v>
      </c>
      <c r="H56">
        <f t="shared" si="8"/>
        <v>0</v>
      </c>
      <c r="L56" t="s">
        <v>416</v>
      </c>
      <c r="M56">
        <f>M55+B114*(S10+V18/10)</f>
        <v>893.2586500000001</v>
      </c>
    </row>
    <row r="57" spans="3:27" x14ac:dyDescent="0.25">
      <c r="D57">
        <f t="shared" si="8"/>
        <v>0</v>
      </c>
      <c r="E57">
        <f t="shared" si="8"/>
        <v>0</v>
      </c>
      <c r="F57">
        <f t="shared" si="8"/>
        <v>0</v>
      </c>
      <c r="G57">
        <f t="shared" si="8"/>
        <v>0</v>
      </c>
      <c r="H57">
        <f t="shared" si="8"/>
        <v>0</v>
      </c>
      <c r="L57" t="s">
        <v>356</v>
      </c>
      <c r="M57">
        <f>S10*B110</f>
        <v>0</v>
      </c>
      <c r="Y57" t="s">
        <v>316</v>
      </c>
    </row>
    <row r="58" spans="3:27" x14ac:dyDescent="0.25">
      <c r="D58">
        <f t="shared" si="8"/>
        <v>0</v>
      </c>
      <c r="E58">
        <f t="shared" si="8"/>
        <v>0</v>
      </c>
      <c r="F58">
        <f t="shared" si="8"/>
        <v>0</v>
      </c>
      <c r="G58">
        <f t="shared" si="8"/>
        <v>0</v>
      </c>
      <c r="H58">
        <f t="shared" si="8"/>
        <v>0</v>
      </c>
      <c r="L58" t="s">
        <v>397</v>
      </c>
      <c r="M58" t="s">
        <v>398</v>
      </c>
      <c r="N58" t="s">
        <v>399</v>
      </c>
      <c r="O58" t="s">
        <v>400</v>
      </c>
      <c r="P58" t="s">
        <v>401</v>
      </c>
      <c r="Q58" t="s">
        <v>402</v>
      </c>
      <c r="T58" s="1" t="s">
        <v>408</v>
      </c>
      <c r="V58" t="s">
        <v>414</v>
      </c>
      <c r="Y58">
        <v>50</v>
      </c>
    </row>
    <row r="59" spans="3:27" x14ac:dyDescent="0.25">
      <c r="D59">
        <f t="shared" si="8"/>
        <v>0</v>
      </c>
      <c r="E59">
        <f t="shared" si="8"/>
        <v>0</v>
      </c>
      <c r="F59">
        <f t="shared" si="8"/>
        <v>0</v>
      </c>
      <c r="G59">
        <f t="shared" si="8"/>
        <v>0</v>
      </c>
      <c r="H59">
        <f t="shared" si="8"/>
        <v>0</v>
      </c>
      <c r="L59">
        <v>100</v>
      </c>
      <c r="M59">
        <f>L59*$AE$10</f>
        <v>70</v>
      </c>
      <c r="N59">
        <f>$AE$11</f>
        <v>11.52</v>
      </c>
      <c r="O59">
        <f>M59-N59</f>
        <v>58.480000000000004</v>
      </c>
      <c r="P59">
        <f>100/(100+O59)</f>
        <v>0.63099444724886411</v>
      </c>
      <c r="Q59">
        <f>P59*$M$55</f>
        <v>563.64124810701662</v>
      </c>
      <c r="T59">
        <f>(M$55+M$57)*P59</f>
        <v>563.64124810701662</v>
      </c>
      <c r="V59">
        <f>T59*1.33</f>
        <v>749.6428599823322</v>
      </c>
    </row>
    <row r="60" spans="3:27" x14ac:dyDescent="0.25">
      <c r="D60">
        <f t="shared" si="8"/>
        <v>0</v>
      </c>
      <c r="E60">
        <f t="shared" si="8"/>
        <v>0</v>
      </c>
      <c r="F60">
        <f t="shared" si="8"/>
        <v>0</v>
      </c>
      <c r="G60">
        <f t="shared" si="8"/>
        <v>0</v>
      </c>
      <c r="H60">
        <f t="shared" si="8"/>
        <v>0</v>
      </c>
      <c r="L60">
        <v>200</v>
      </c>
      <c r="M60">
        <f>L60*$AE$10</f>
        <v>140</v>
      </c>
      <c r="N60">
        <f>$AE$11</f>
        <v>11.52</v>
      </c>
      <c r="O60">
        <f>M60-N60</f>
        <v>128.47999999999999</v>
      </c>
      <c r="P60">
        <f>100/(100+O60)</f>
        <v>0.4376750700280112</v>
      </c>
      <c r="Q60">
        <f>P60*$M$55</f>
        <v>390.95704219187678</v>
      </c>
      <c r="T60">
        <f>(M$55+M$57)*P60</f>
        <v>390.95704219187678</v>
      </c>
      <c r="V60">
        <f>T60*1.33</f>
        <v>519.9728661151961</v>
      </c>
      <c r="Y60" t="s">
        <v>317</v>
      </c>
    </row>
    <row r="61" spans="3:27" x14ac:dyDescent="0.25">
      <c r="D61">
        <f t="shared" si="8"/>
        <v>0</v>
      </c>
      <c r="E61">
        <f t="shared" si="8"/>
        <v>0</v>
      </c>
      <c r="F61">
        <f t="shared" si="8"/>
        <v>0</v>
      </c>
      <c r="G61">
        <f t="shared" si="8"/>
        <v>0</v>
      </c>
      <c r="H61">
        <f t="shared" si="8"/>
        <v>0</v>
      </c>
      <c r="L61">
        <v>300</v>
      </c>
      <c r="M61">
        <f>L61*$AE$10</f>
        <v>210</v>
      </c>
      <c r="N61">
        <f>$AE$11</f>
        <v>11.52</v>
      </c>
      <c r="O61">
        <f>M61-N61</f>
        <v>198.48</v>
      </c>
      <c r="P61">
        <f>100/(100+O61)</f>
        <v>0.33503082283570085</v>
      </c>
      <c r="Q61">
        <f>P61*$M$55</f>
        <v>299.26918051460734</v>
      </c>
      <c r="T61">
        <f>(M$55+M$57)*P61</f>
        <v>299.26918051460734</v>
      </c>
      <c r="V61">
        <f>T61*1.33</f>
        <v>398.02801008442776</v>
      </c>
      <c r="Y61">
        <v>0.06</v>
      </c>
    </row>
    <row r="62" spans="3:27" x14ac:dyDescent="0.25">
      <c r="D62">
        <f t="shared" si="8"/>
        <v>0</v>
      </c>
      <c r="E62">
        <f t="shared" si="8"/>
        <v>0</v>
      </c>
      <c r="F62">
        <f t="shared" si="8"/>
        <v>0</v>
      </c>
      <c r="G62">
        <f t="shared" si="8"/>
        <v>0</v>
      </c>
      <c r="H62">
        <f t="shared" si="8"/>
        <v>0</v>
      </c>
    </row>
    <row r="63" spans="3:27" x14ac:dyDescent="0.25">
      <c r="D63">
        <f t="shared" si="8"/>
        <v>0</v>
      </c>
      <c r="E63">
        <f t="shared" si="8"/>
        <v>0</v>
      </c>
      <c r="F63">
        <f t="shared" si="8"/>
        <v>0</v>
      </c>
      <c r="G63">
        <f t="shared" si="8"/>
        <v>0</v>
      </c>
      <c r="H63">
        <f t="shared" si="8"/>
        <v>0</v>
      </c>
      <c r="K63" t="s">
        <v>403</v>
      </c>
      <c r="L63" t="s">
        <v>404</v>
      </c>
      <c r="N63" t="s">
        <v>405</v>
      </c>
      <c r="P63" t="s">
        <v>406</v>
      </c>
      <c r="R63" t="s">
        <v>361</v>
      </c>
      <c r="T63" t="s">
        <v>407</v>
      </c>
      <c r="Y63" t="s">
        <v>318</v>
      </c>
      <c r="AA63">
        <f>100/(100+Y58)</f>
        <v>0.66666666666666663</v>
      </c>
    </row>
    <row r="64" spans="3:27" x14ac:dyDescent="0.25">
      <c r="D64">
        <f t="shared" ref="D64:H73" si="9">D30*$B30</f>
        <v>0</v>
      </c>
      <c r="E64">
        <f t="shared" si="9"/>
        <v>0</v>
      </c>
      <c r="F64">
        <f t="shared" si="9"/>
        <v>0</v>
      </c>
      <c r="G64">
        <f t="shared" si="9"/>
        <v>0</v>
      </c>
      <c r="H64">
        <f t="shared" si="9"/>
        <v>0</v>
      </c>
      <c r="J64">
        <v>100</v>
      </c>
      <c r="K64">
        <v>975.9</v>
      </c>
      <c r="L64">
        <v>1321.9</v>
      </c>
      <c r="M64">
        <f>L64/$K64</f>
        <v>1.3545445230044064</v>
      </c>
      <c r="N64">
        <v>1253</v>
      </c>
      <c r="O64">
        <f>N64/$K64</f>
        <v>1.2839430269494825</v>
      </c>
      <c r="P64">
        <f>1320.9</f>
        <v>1320.9</v>
      </c>
      <c r="Q64">
        <f>P64/$K64</f>
        <v>1.3535198278512144</v>
      </c>
      <c r="R64">
        <f>1472.3</f>
        <v>1472.3</v>
      </c>
      <c r="S64">
        <f>R64/$K64</f>
        <v>1.5086586740444718</v>
      </c>
      <c r="T64">
        <v>1281.4000000000001</v>
      </c>
      <c r="U64">
        <f>T64/$K64</f>
        <v>1.3130443693001332</v>
      </c>
      <c r="Y64" t="s">
        <v>319</v>
      </c>
      <c r="AA64">
        <f>100/(100+Y58*(1-Y61))</f>
        <v>0.68027210884353739</v>
      </c>
    </row>
    <row r="65" spans="4:29" x14ac:dyDescent="0.25">
      <c r="D65">
        <f t="shared" si="9"/>
        <v>0</v>
      </c>
      <c r="E65">
        <f t="shared" si="9"/>
        <v>0</v>
      </c>
      <c r="F65">
        <f t="shared" si="9"/>
        <v>0</v>
      </c>
      <c r="G65">
        <f t="shared" si="9"/>
        <v>0</v>
      </c>
      <c r="H65">
        <f t="shared" si="9"/>
        <v>0</v>
      </c>
      <c r="J65">
        <v>200</v>
      </c>
      <c r="K65">
        <v>684.1</v>
      </c>
      <c r="L65">
        <v>887.1</v>
      </c>
      <c r="M65">
        <f>L65/K65</f>
        <v>1.2967402426545827</v>
      </c>
      <c r="N65">
        <v>878.4</v>
      </c>
      <c r="O65">
        <f>N65/$K65</f>
        <v>1.2840228036836718</v>
      </c>
      <c r="P65">
        <v>996.2</v>
      </c>
      <c r="Q65">
        <f>P65/$K65</f>
        <v>1.4562198508989914</v>
      </c>
      <c r="R65">
        <v>1032.0999999999999</v>
      </c>
      <c r="S65">
        <f>R65/$K65</f>
        <v>1.5086975588364273</v>
      </c>
      <c r="T65">
        <v>898.3</v>
      </c>
      <c r="U65">
        <f>T65/$K65</f>
        <v>1.3131121181113872</v>
      </c>
      <c r="Y65" t="s">
        <v>320</v>
      </c>
      <c r="AA65">
        <f>(AA64-AA63)/AA64</f>
        <v>2.0000000000000021E-2</v>
      </c>
    </row>
    <row r="66" spans="4:29" x14ac:dyDescent="0.25">
      <c r="D66">
        <f t="shared" si="9"/>
        <v>0</v>
      </c>
      <c r="E66">
        <f t="shared" si="9"/>
        <v>0</v>
      </c>
      <c r="F66">
        <f t="shared" si="9"/>
        <v>0</v>
      </c>
      <c r="G66">
        <f t="shared" si="9"/>
        <v>0</v>
      </c>
      <c r="H66">
        <f t="shared" si="9"/>
        <v>0</v>
      </c>
      <c r="J66">
        <v>300</v>
      </c>
      <c r="K66">
        <v>526.70000000000005</v>
      </c>
      <c r="L66">
        <v>667.6</v>
      </c>
      <c r="M66">
        <f>L66/K66</f>
        <v>1.2675147142585912</v>
      </c>
      <c r="N66">
        <v>676.2</v>
      </c>
      <c r="O66">
        <f>N66/$K66</f>
        <v>1.2838427947598252</v>
      </c>
      <c r="P66">
        <v>799.7</v>
      </c>
      <c r="Q66">
        <f>P66/$K66</f>
        <v>1.518321625213594</v>
      </c>
      <c r="R66">
        <v>794.5</v>
      </c>
      <c r="S66">
        <f>R66/$K66</f>
        <v>1.5084488323523826</v>
      </c>
      <c r="T66">
        <v>691.5</v>
      </c>
      <c r="U66">
        <f>T66/$K66</f>
        <v>1.3128915891399278</v>
      </c>
    </row>
    <row r="67" spans="4:29" x14ac:dyDescent="0.25">
      <c r="D67">
        <f t="shared" si="9"/>
        <v>0</v>
      </c>
      <c r="E67">
        <f t="shared" si="9"/>
        <v>0</v>
      </c>
      <c r="F67">
        <f t="shared" si="9"/>
        <v>0</v>
      </c>
      <c r="G67">
        <f t="shared" si="9"/>
        <v>0</v>
      </c>
      <c r="H67">
        <f t="shared" si="9"/>
        <v>0</v>
      </c>
    </row>
    <row r="68" spans="4:29" x14ac:dyDescent="0.25">
      <c r="D68">
        <f t="shared" si="9"/>
        <v>0</v>
      </c>
      <c r="E68">
        <f t="shared" si="9"/>
        <v>0</v>
      </c>
      <c r="F68">
        <f t="shared" si="9"/>
        <v>0</v>
      </c>
      <c r="G68">
        <f t="shared" si="9"/>
        <v>0</v>
      </c>
      <c r="H68">
        <f t="shared" si="9"/>
        <v>0</v>
      </c>
      <c r="M68" t="s">
        <v>287</v>
      </c>
      <c r="N68" t="s">
        <v>133</v>
      </c>
    </row>
    <row r="69" spans="4:29" x14ac:dyDescent="0.25">
      <c r="D69">
        <f t="shared" si="9"/>
        <v>0</v>
      </c>
      <c r="E69">
        <f t="shared" si="9"/>
        <v>0</v>
      </c>
      <c r="F69">
        <f t="shared" si="9"/>
        <v>0</v>
      </c>
      <c r="G69">
        <f t="shared" si="9"/>
        <v>0</v>
      </c>
      <c r="H69">
        <f t="shared" si="9"/>
        <v>0</v>
      </c>
      <c r="L69" t="s">
        <v>222</v>
      </c>
      <c r="M69">
        <f>M47+M72</f>
        <v>321.39400000000001</v>
      </c>
      <c r="N69">
        <f>M69/(O47+4.5)</f>
        <v>29.485688073394495</v>
      </c>
      <c r="T69" t="s">
        <v>369</v>
      </c>
      <c r="W69" t="s">
        <v>375</v>
      </c>
      <c r="AA69" t="s">
        <v>371</v>
      </c>
    </row>
    <row r="70" spans="4:29" x14ac:dyDescent="0.25">
      <c r="D70">
        <f t="shared" si="9"/>
        <v>0</v>
      </c>
      <c r="E70">
        <f t="shared" si="9"/>
        <v>0</v>
      </c>
      <c r="F70">
        <f t="shared" si="9"/>
        <v>0</v>
      </c>
      <c r="G70">
        <f t="shared" si="9"/>
        <v>0</v>
      </c>
      <c r="H70">
        <f t="shared" si="9"/>
        <v>0</v>
      </c>
      <c r="L70" t="s">
        <v>223</v>
      </c>
      <c r="M70">
        <f>M50</f>
        <v>0</v>
      </c>
      <c r="N70">
        <f>M70/O50</f>
        <v>0</v>
      </c>
      <c r="R70" s="2"/>
      <c r="V70" t="s">
        <v>362</v>
      </c>
    </row>
    <row r="71" spans="4:29" x14ac:dyDescent="0.25">
      <c r="D71">
        <f t="shared" si="9"/>
        <v>0</v>
      </c>
      <c r="E71">
        <f t="shared" si="9"/>
        <v>0</v>
      </c>
      <c r="F71">
        <f t="shared" si="9"/>
        <v>0</v>
      </c>
      <c r="G71">
        <f t="shared" si="9"/>
        <v>0</v>
      </c>
      <c r="H71">
        <f t="shared" si="9"/>
        <v>0</v>
      </c>
      <c r="L71" t="s">
        <v>224</v>
      </c>
      <c r="M71">
        <f>M53</f>
        <v>435.15465000000006</v>
      </c>
      <c r="N71">
        <f>M71/(O53+3)</f>
        <v>32.4742276119403</v>
      </c>
      <c r="T71" t="s">
        <v>363</v>
      </c>
      <c r="V71">
        <f>371.8</f>
        <v>371.8</v>
      </c>
      <c r="W71">
        <v>270.60000000000002</v>
      </c>
      <c r="AA71" t="s">
        <v>372</v>
      </c>
      <c r="AC71">
        <v>254</v>
      </c>
    </row>
    <row r="72" spans="4:29" x14ac:dyDescent="0.25">
      <c r="D72">
        <f t="shared" si="9"/>
        <v>0</v>
      </c>
      <c r="E72">
        <f t="shared" si="9"/>
        <v>0</v>
      </c>
      <c r="F72">
        <f t="shared" si="9"/>
        <v>0</v>
      </c>
      <c r="G72">
        <f t="shared" si="9"/>
        <v>0</v>
      </c>
      <c r="H72">
        <f t="shared" si="9"/>
        <v>0</v>
      </c>
      <c r="L72" t="s">
        <v>294</v>
      </c>
      <c r="T72" t="s">
        <v>364</v>
      </c>
      <c r="V72">
        <v>343.1</v>
      </c>
      <c r="W72">
        <v>272.3</v>
      </c>
      <c r="AA72" t="s">
        <v>114</v>
      </c>
      <c r="AC72">
        <v>240</v>
      </c>
    </row>
    <row r="73" spans="4:29" x14ac:dyDescent="0.25">
      <c r="D73">
        <f t="shared" si="9"/>
        <v>0</v>
      </c>
      <c r="E73">
        <f t="shared" si="9"/>
        <v>0</v>
      </c>
      <c r="F73">
        <f t="shared" si="9"/>
        <v>0</v>
      </c>
      <c r="G73">
        <f t="shared" si="9"/>
        <v>0</v>
      </c>
      <c r="H73">
        <f t="shared" si="9"/>
        <v>0</v>
      </c>
      <c r="L73" t="s">
        <v>233</v>
      </c>
      <c r="M73">
        <f>SUM(M69:M71)</f>
        <v>756.54865000000007</v>
      </c>
      <c r="N73">
        <f>SUM(N69:N71)</f>
        <v>61.959915685334792</v>
      </c>
      <c r="W73">
        <f>W72/W71</f>
        <v>1.0062823355506283</v>
      </c>
    </row>
    <row r="74" spans="4:29" x14ac:dyDescent="0.25">
      <c r="D74">
        <f t="shared" ref="D74:H83" si="10">D40*$B40</f>
        <v>0</v>
      </c>
      <c r="E74">
        <f t="shared" si="10"/>
        <v>0</v>
      </c>
      <c r="F74">
        <f t="shared" si="10"/>
        <v>0</v>
      </c>
      <c r="G74">
        <f t="shared" si="10"/>
        <v>0</v>
      </c>
      <c r="H74">
        <f t="shared" si="10"/>
        <v>0</v>
      </c>
      <c r="L74" t="s">
        <v>239</v>
      </c>
      <c r="M74">
        <f>N74*3</f>
        <v>0</v>
      </c>
      <c r="N74">
        <f>B38*(24+1.5*C4)+B28*(25+C4)</f>
        <v>0</v>
      </c>
    </row>
    <row r="75" spans="4:29" x14ac:dyDescent="0.25">
      <c r="D75">
        <f t="shared" si="10"/>
        <v>0</v>
      </c>
      <c r="E75">
        <f t="shared" si="10"/>
        <v>0</v>
      </c>
      <c r="F75">
        <f t="shared" si="10"/>
        <v>0</v>
      </c>
      <c r="G75">
        <f t="shared" si="10"/>
        <v>0</v>
      </c>
      <c r="H75">
        <f t="shared" si="10"/>
        <v>0</v>
      </c>
      <c r="L75" t="s">
        <v>329</v>
      </c>
      <c r="M75">
        <f>2*M8*B102</f>
        <v>0</v>
      </c>
      <c r="N75">
        <f>M75/3</f>
        <v>0</v>
      </c>
      <c r="P75" t="s">
        <v>361</v>
      </c>
      <c r="T75" t="s">
        <v>370</v>
      </c>
    </row>
    <row r="76" spans="4:29" x14ac:dyDescent="0.25">
      <c r="D76">
        <f t="shared" si="10"/>
        <v>0</v>
      </c>
      <c r="E76">
        <f t="shared" si="10"/>
        <v>0</v>
      </c>
      <c r="F76">
        <f t="shared" si="10"/>
        <v>0</v>
      </c>
      <c r="G76">
        <f t="shared" si="10"/>
        <v>0</v>
      </c>
      <c r="H76">
        <f t="shared" si="10"/>
        <v>0</v>
      </c>
      <c r="L76" t="s">
        <v>360</v>
      </c>
      <c r="M76">
        <f>S10*B110+B114*(S10+V18/10)</f>
        <v>0</v>
      </c>
      <c r="N76">
        <f>M76/20</f>
        <v>0</v>
      </c>
      <c r="P76">
        <v>2061</v>
      </c>
      <c r="Q76">
        <v>553</v>
      </c>
      <c r="T76" t="s">
        <v>363</v>
      </c>
      <c r="V76">
        <v>496.9</v>
      </c>
      <c r="W76">
        <v>347</v>
      </c>
      <c r="AA76" t="s">
        <v>372</v>
      </c>
      <c r="AC76">
        <v>342.3</v>
      </c>
    </row>
    <row r="77" spans="4:29" x14ac:dyDescent="0.25">
      <c r="D77">
        <f t="shared" si="10"/>
        <v>0</v>
      </c>
      <c r="E77">
        <f t="shared" si="10"/>
        <v>0</v>
      </c>
      <c r="F77">
        <f t="shared" si="10"/>
        <v>0</v>
      </c>
      <c r="G77">
        <f t="shared" si="10"/>
        <v>0</v>
      </c>
      <c r="H77">
        <f t="shared" si="10"/>
        <v>0</v>
      </c>
      <c r="L77" t="s">
        <v>232</v>
      </c>
      <c r="N77">
        <f>M101</f>
        <v>100.99280362500001</v>
      </c>
      <c r="T77" t="s">
        <v>364</v>
      </c>
      <c r="V77">
        <v>464.6</v>
      </c>
      <c r="W77">
        <v>352.8</v>
      </c>
      <c r="AA77" t="s">
        <v>114</v>
      </c>
      <c r="AC77">
        <v>304.5</v>
      </c>
    </row>
    <row r="78" spans="4:29" x14ac:dyDescent="0.25">
      <c r="D78">
        <f t="shared" si="10"/>
        <v>0</v>
      </c>
      <c r="E78">
        <f t="shared" si="10"/>
        <v>0</v>
      </c>
      <c r="F78">
        <f t="shared" si="10"/>
        <v>0</v>
      </c>
      <c r="G78">
        <f t="shared" si="10"/>
        <v>0</v>
      </c>
      <c r="H78">
        <f t="shared" si="10"/>
        <v>0</v>
      </c>
      <c r="L78" t="s">
        <v>234</v>
      </c>
      <c r="M78">
        <f>SUM(M73:M75)</f>
        <v>756.54865000000007</v>
      </c>
      <c r="N78" s="2">
        <f>N77+N73+N74+N75+N76</f>
        <v>162.9527193103348</v>
      </c>
      <c r="P78" t="s">
        <v>329</v>
      </c>
      <c r="W78">
        <f>W77/W76</f>
        <v>1.0167146974063401</v>
      </c>
    </row>
    <row r="79" spans="4:29" x14ac:dyDescent="0.25">
      <c r="D79">
        <f t="shared" si="10"/>
        <v>0</v>
      </c>
      <c r="E79">
        <f t="shared" si="10"/>
        <v>0</v>
      </c>
      <c r="F79">
        <f t="shared" si="10"/>
        <v>0</v>
      </c>
      <c r="G79">
        <f t="shared" si="10"/>
        <v>0</v>
      </c>
      <c r="H79">
        <f t="shared" si="10"/>
        <v>0</v>
      </c>
      <c r="P79">
        <v>1809</v>
      </c>
      <c r="Q79">
        <v>480</v>
      </c>
      <c r="T79" t="s">
        <v>376</v>
      </c>
    </row>
    <row r="80" spans="4:29" x14ac:dyDescent="0.25">
      <c r="D80">
        <f t="shared" si="10"/>
        <v>0</v>
      </c>
      <c r="E80">
        <f t="shared" si="10"/>
        <v>0</v>
      </c>
      <c r="F80">
        <f t="shared" si="10"/>
        <v>0</v>
      </c>
      <c r="G80">
        <f t="shared" si="10"/>
        <v>0</v>
      </c>
      <c r="H80">
        <f t="shared" si="10"/>
        <v>0</v>
      </c>
      <c r="T80" t="s">
        <v>363</v>
      </c>
      <c r="V80">
        <v>1367.4</v>
      </c>
      <c r="W80">
        <v>684</v>
      </c>
    </row>
    <row r="81" spans="2:31" x14ac:dyDescent="0.25">
      <c r="D81">
        <f t="shared" si="10"/>
        <v>0</v>
      </c>
      <c r="E81">
        <f t="shared" si="10"/>
        <v>0</v>
      </c>
      <c r="F81">
        <f t="shared" si="10"/>
        <v>0</v>
      </c>
      <c r="G81">
        <f t="shared" si="10"/>
        <v>0</v>
      </c>
      <c r="H81">
        <f t="shared" si="10"/>
        <v>0</v>
      </c>
      <c r="T81" t="s">
        <v>364</v>
      </c>
      <c r="V81">
        <v>1327.4459999999999</v>
      </c>
      <c r="W81">
        <v>717</v>
      </c>
    </row>
    <row r="82" spans="2:31" x14ac:dyDescent="0.25">
      <c r="D82">
        <f t="shared" si="10"/>
        <v>0</v>
      </c>
      <c r="E82">
        <f t="shared" si="10"/>
        <v>0</v>
      </c>
      <c r="F82">
        <f t="shared" si="10"/>
        <v>0</v>
      </c>
      <c r="G82">
        <f t="shared" si="10"/>
        <v>0</v>
      </c>
      <c r="H82">
        <f t="shared" si="10"/>
        <v>0</v>
      </c>
      <c r="W82">
        <f>W81/W80</f>
        <v>1.0482456140350878</v>
      </c>
      <c r="AA82" t="s">
        <v>420</v>
      </c>
      <c r="AD82" t="s">
        <v>423</v>
      </c>
    </row>
    <row r="83" spans="2:31" x14ac:dyDescent="0.25">
      <c r="D83">
        <f t="shared" si="10"/>
        <v>0</v>
      </c>
      <c r="E83">
        <f t="shared" si="10"/>
        <v>0</v>
      </c>
      <c r="F83">
        <f t="shared" si="10"/>
        <v>0</v>
      </c>
      <c r="G83">
        <f t="shared" si="10"/>
        <v>0</v>
      </c>
      <c r="H83">
        <f t="shared" si="10"/>
        <v>0</v>
      </c>
      <c r="R83" t="s">
        <v>255</v>
      </c>
      <c r="T83" t="s">
        <v>256</v>
      </c>
      <c r="U83" t="s">
        <v>258</v>
      </c>
      <c r="V83" t="s">
        <v>259</v>
      </c>
      <c r="Y83">
        <v>48.725999999999999</v>
      </c>
      <c r="Z83">
        <v>50.78</v>
      </c>
      <c r="AA83" t="s">
        <v>25</v>
      </c>
      <c r="AB83">
        <f>F8*100/(100+S20-AE4)</f>
        <v>108.75366506690463</v>
      </c>
      <c r="AC83">
        <v>36.369999999999997</v>
      </c>
      <c r="AD83">
        <v>38.4</v>
      </c>
    </row>
    <row r="84" spans="2:31" x14ac:dyDescent="0.25">
      <c r="D84">
        <f>D50*$B50</f>
        <v>0</v>
      </c>
      <c r="E84">
        <f>E50*$B50</f>
        <v>0</v>
      </c>
      <c r="F84">
        <f>F50*$B50</f>
        <v>0</v>
      </c>
      <c r="G84">
        <f>G50*$B50</f>
        <v>0</v>
      </c>
      <c r="H84">
        <f>H50*$B50</f>
        <v>0</v>
      </c>
      <c r="R84">
        <f>S20</f>
        <v>81.338644628099175</v>
      </c>
      <c r="S84">
        <f>100/(100+S20)</f>
        <v>0.55145443600886257</v>
      </c>
      <c r="AA84" t="s">
        <v>33</v>
      </c>
      <c r="AB84">
        <f>F14*100/(100+S20-AE4)</f>
        <v>256.24668654786615</v>
      </c>
      <c r="AC84">
        <v>122.26</v>
      </c>
      <c r="AD84">
        <v>131</v>
      </c>
    </row>
    <row r="85" spans="2:31" x14ac:dyDescent="0.25">
      <c r="C85" s="2" t="s">
        <v>73</v>
      </c>
      <c r="D85">
        <f>SUM(D54:D84)</f>
        <v>0</v>
      </c>
      <c r="E85">
        <f>SUM(E54:E84)</f>
        <v>0</v>
      </c>
      <c r="F85">
        <f>SUM(F54:F84)</f>
        <v>0</v>
      </c>
      <c r="G85">
        <f>SUM(G54:G84)</f>
        <v>0</v>
      </c>
      <c r="H85">
        <f>SUM(H54:H84)</f>
        <v>0</v>
      </c>
      <c r="Q85" t="s">
        <v>257</v>
      </c>
      <c r="S85">
        <f>S84*0.9</f>
        <v>0.49630899240797632</v>
      </c>
      <c r="T85">
        <f>100/S85-100</f>
        <v>101.48738292011021</v>
      </c>
      <c r="U85">
        <f>T85-R84</f>
        <v>20.148738292011032</v>
      </c>
      <c r="Y85">
        <v>60.981000000000002</v>
      </c>
      <c r="Z85">
        <v>59.66</v>
      </c>
      <c r="AA85" t="s">
        <v>421</v>
      </c>
      <c r="AB85">
        <f>S10*100/(100+S20-AE4)</f>
        <v>80.503527924977419</v>
      </c>
      <c r="AC85">
        <v>43.2</v>
      </c>
      <c r="AD85">
        <v>48.3</v>
      </c>
    </row>
    <row r="86" spans="2:31" x14ac:dyDescent="0.25">
      <c r="Q86" t="s">
        <v>259</v>
      </c>
      <c r="S86">
        <f>S85*0.85</f>
        <v>0.42186264354677988</v>
      </c>
      <c r="T86">
        <f>100/S86-100</f>
        <v>137.04397990601203</v>
      </c>
      <c r="V86">
        <f>T86-T85</f>
        <v>35.55659698590182</v>
      </c>
    </row>
    <row r="87" spans="2:31" x14ac:dyDescent="0.25">
      <c r="Y87">
        <f>Y83+Y85</f>
        <v>109.70699999999999</v>
      </c>
      <c r="Z87">
        <f>Z85+Z83</f>
        <v>110.44</v>
      </c>
      <c r="AA87" t="s">
        <v>422</v>
      </c>
      <c r="AB87">
        <f>AB83+2*AB85</f>
        <v>269.76072091685944</v>
      </c>
      <c r="AC87">
        <v>122.8</v>
      </c>
      <c r="AD87">
        <f>AB87-AC87</f>
        <v>146.96072091685943</v>
      </c>
      <c r="AE87">
        <f>AD87/AC87</f>
        <v>1.1967485416682364</v>
      </c>
    </row>
    <row r="88" spans="2:31" x14ac:dyDescent="0.25">
      <c r="AB88">
        <f>AB87+AB84</f>
        <v>526.00740746472559</v>
      </c>
      <c r="AC88">
        <f>AC87+AC84</f>
        <v>245.06</v>
      </c>
      <c r="AD88">
        <f>AB88-AC88</f>
        <v>280.94740746472559</v>
      </c>
      <c r="AE88">
        <f>AD88/AC88</f>
        <v>1.1464433504640723</v>
      </c>
    </row>
    <row r="89" spans="2:31" x14ac:dyDescent="0.25">
      <c r="B89" s="2" t="s">
        <v>35</v>
      </c>
      <c r="C89" s="2" t="s">
        <v>36</v>
      </c>
      <c r="D89" s="2" t="s">
        <v>37</v>
      </c>
      <c r="E89" s="2" t="s">
        <v>38</v>
      </c>
      <c r="F89" s="2" t="s">
        <v>39</v>
      </c>
      <c r="G89" s="2" t="s">
        <v>391</v>
      </c>
      <c r="H89" s="2" t="s">
        <v>392</v>
      </c>
      <c r="K89" s="2" t="s">
        <v>40</v>
      </c>
      <c r="L89" s="2" t="s">
        <v>37</v>
      </c>
      <c r="M89" s="2" t="s">
        <v>38</v>
      </c>
      <c r="N89" s="2" t="s">
        <v>41</v>
      </c>
    </row>
    <row r="90" spans="2:31" x14ac:dyDescent="0.25">
      <c r="C90" t="s">
        <v>43</v>
      </c>
      <c r="D90">
        <v>70</v>
      </c>
      <c r="E90">
        <v>0</v>
      </c>
      <c r="F90">
        <v>0.2</v>
      </c>
      <c r="L90">
        <f>D143</f>
        <v>40</v>
      </c>
      <c r="M90">
        <f>E143</f>
        <v>0</v>
      </c>
      <c r="N90">
        <f>F143</f>
        <v>0</v>
      </c>
    </row>
    <row r="91" spans="2:31" x14ac:dyDescent="0.25">
      <c r="C91" t="s">
        <v>44</v>
      </c>
      <c r="D91">
        <v>0</v>
      </c>
      <c r="E91">
        <v>0.5</v>
      </c>
      <c r="F91">
        <v>0.3</v>
      </c>
    </row>
    <row r="92" spans="2:31" x14ac:dyDescent="0.25">
      <c r="C92" t="s">
        <v>45</v>
      </c>
      <c r="E92">
        <v>0.4</v>
      </c>
      <c r="F92">
        <v>0.2</v>
      </c>
      <c r="K92" t="s">
        <v>12</v>
      </c>
      <c r="M92">
        <f>AA10</f>
        <v>0.73873750000000005</v>
      </c>
    </row>
    <row r="93" spans="2:31" x14ac:dyDescent="0.25">
      <c r="C93" t="s">
        <v>46</v>
      </c>
      <c r="D93">
        <v>40</v>
      </c>
      <c r="E93">
        <v>0</v>
      </c>
      <c r="F93">
        <v>0</v>
      </c>
      <c r="H93">
        <v>0.35</v>
      </c>
    </row>
    <row r="94" spans="2:31" x14ac:dyDescent="0.25">
      <c r="C94" t="s">
        <v>47</v>
      </c>
      <c r="D94">
        <v>65</v>
      </c>
      <c r="E94">
        <v>0</v>
      </c>
      <c r="F94">
        <v>0</v>
      </c>
      <c r="K94" t="s">
        <v>48</v>
      </c>
      <c r="M94">
        <v>2.5</v>
      </c>
      <c r="T94" t="e">
        <f>bin</f>
        <v>#NAME?</v>
      </c>
    </row>
    <row r="95" spans="2:31" x14ac:dyDescent="0.25">
      <c r="C95" t="s">
        <v>49</v>
      </c>
      <c r="D95">
        <v>65</v>
      </c>
    </row>
    <row r="96" spans="2:31" x14ac:dyDescent="0.25">
      <c r="C96" t="s">
        <v>412</v>
      </c>
      <c r="D96">
        <f>M8*0.25</f>
        <v>22.052500000000002</v>
      </c>
      <c r="K96" t="s">
        <v>51</v>
      </c>
      <c r="M96">
        <f>S10</f>
        <v>136.71</v>
      </c>
    </row>
    <row r="97" spans="2:13" x14ac:dyDescent="0.25">
      <c r="C97" t="s">
        <v>50</v>
      </c>
      <c r="D97">
        <v>7</v>
      </c>
      <c r="K97" t="s">
        <v>53</v>
      </c>
      <c r="M97">
        <f>M96*(1+1.5*N90)</f>
        <v>136.71</v>
      </c>
    </row>
    <row r="98" spans="2:13" x14ac:dyDescent="0.25">
      <c r="C98" t="s">
        <v>52</v>
      </c>
      <c r="D98">
        <v>25</v>
      </c>
      <c r="E98">
        <v>0.5</v>
      </c>
      <c r="K98" t="s">
        <v>55</v>
      </c>
      <c r="M98">
        <f>M96*IF(B90,2.5,2)</f>
        <v>273.42</v>
      </c>
    </row>
    <row r="99" spans="2:13" x14ac:dyDescent="0.25">
      <c r="C99" t="s">
        <v>54</v>
      </c>
      <c r="D99">
        <v>25</v>
      </c>
      <c r="E99">
        <v>0.4</v>
      </c>
      <c r="F99">
        <v>0</v>
      </c>
    </row>
    <row r="100" spans="2:13" x14ac:dyDescent="0.25">
      <c r="C100" t="s">
        <v>56</v>
      </c>
      <c r="D100">
        <v>60</v>
      </c>
      <c r="E100">
        <v>0</v>
      </c>
      <c r="F100">
        <v>0</v>
      </c>
      <c r="G100">
        <v>20</v>
      </c>
      <c r="K100" t="s">
        <v>58</v>
      </c>
      <c r="M100">
        <f>S10*M92</f>
        <v>100.99280362500001</v>
      </c>
    </row>
    <row r="101" spans="2:13" x14ac:dyDescent="0.25">
      <c r="C101" t="s">
        <v>57</v>
      </c>
      <c r="E101">
        <v>0.2</v>
      </c>
      <c r="K101" t="s">
        <v>60</v>
      </c>
      <c r="M101">
        <f>M100*(1+1.5*N90)</f>
        <v>100.99280362500001</v>
      </c>
    </row>
    <row r="102" spans="2:13" x14ac:dyDescent="0.25">
      <c r="C102" t="s">
        <v>59</v>
      </c>
      <c r="D102">
        <v>25</v>
      </c>
      <c r="E102">
        <v>0.4</v>
      </c>
    </row>
    <row r="103" spans="2:13" x14ac:dyDescent="0.25">
      <c r="C103" t="s">
        <v>61</v>
      </c>
      <c r="D103">
        <v>20</v>
      </c>
    </row>
    <row r="104" spans="2:13" x14ac:dyDescent="0.25">
      <c r="C104" t="s">
        <v>62</v>
      </c>
      <c r="D104">
        <v>50</v>
      </c>
    </row>
    <row r="105" spans="2:13" x14ac:dyDescent="0.25">
      <c r="C105" t="s">
        <v>63</v>
      </c>
      <c r="D105">
        <v>25</v>
      </c>
      <c r="G105">
        <v>10</v>
      </c>
    </row>
    <row r="106" spans="2:13" x14ac:dyDescent="0.25">
      <c r="B106">
        <v>1</v>
      </c>
      <c r="C106" t="s">
        <v>64</v>
      </c>
      <c r="D106">
        <v>40</v>
      </c>
      <c r="H106">
        <v>0.3</v>
      </c>
    </row>
    <row r="107" spans="2:13" x14ac:dyDescent="0.25">
      <c r="C107" t="s">
        <v>65</v>
      </c>
      <c r="D107">
        <v>25</v>
      </c>
    </row>
    <row r="108" spans="2:13" x14ac:dyDescent="0.25">
      <c r="C108" t="s">
        <v>66</v>
      </c>
      <c r="D108">
        <v>25</v>
      </c>
    </row>
    <row r="109" spans="2:13" x14ac:dyDescent="0.25">
      <c r="C109" t="s">
        <v>67</v>
      </c>
      <c r="D109">
        <v>20</v>
      </c>
    </row>
    <row r="110" spans="2:13" x14ac:dyDescent="0.25">
      <c r="C110" t="s">
        <v>68</v>
      </c>
      <c r="D110">
        <v>75</v>
      </c>
    </row>
    <row r="111" spans="2:13" x14ac:dyDescent="0.25">
      <c r="C111" t="s">
        <v>69</v>
      </c>
      <c r="D111">
        <v>10</v>
      </c>
    </row>
    <row r="112" spans="2:13" x14ac:dyDescent="0.25">
      <c r="C112" t="s">
        <v>70</v>
      </c>
      <c r="D112">
        <v>25</v>
      </c>
    </row>
    <row r="113" spans="3:8" x14ac:dyDescent="0.25">
      <c r="C113" t="s">
        <v>71</v>
      </c>
      <c r="D113">
        <v>40</v>
      </c>
    </row>
    <row r="114" spans="3:8" x14ac:dyDescent="0.25">
      <c r="C114" t="s">
        <v>417</v>
      </c>
      <c r="D114">
        <v>35</v>
      </c>
    </row>
    <row r="117" spans="3:8" x14ac:dyDescent="0.25">
      <c r="C117" s="2" t="s">
        <v>72</v>
      </c>
    </row>
    <row r="118" spans="3:8" x14ac:dyDescent="0.25">
      <c r="D118">
        <f t="shared" ref="D118:D141" si="11">D90*B90</f>
        <v>0</v>
      </c>
      <c r="E118">
        <f t="shared" ref="E118:E141" si="12">E90*B90</f>
        <v>0</v>
      </c>
      <c r="F118">
        <f t="shared" ref="F118:G142" si="13">F90*$B90</f>
        <v>0</v>
      </c>
      <c r="G118">
        <f t="shared" si="13"/>
        <v>0</v>
      </c>
      <c r="H118">
        <f t="shared" ref="H118:H142" si="14">1-H90*$B90</f>
        <v>1</v>
      </c>
    </row>
    <row r="119" spans="3:8" x14ac:dyDescent="0.25">
      <c r="D119">
        <f t="shared" si="11"/>
        <v>0</v>
      </c>
      <c r="E119">
        <f t="shared" si="12"/>
        <v>0</v>
      </c>
      <c r="F119">
        <f t="shared" si="13"/>
        <v>0</v>
      </c>
      <c r="G119">
        <f t="shared" si="13"/>
        <v>0</v>
      </c>
      <c r="H119">
        <f t="shared" si="14"/>
        <v>1</v>
      </c>
    </row>
    <row r="120" spans="3:8" x14ac:dyDescent="0.25">
      <c r="D120">
        <f t="shared" si="11"/>
        <v>0</v>
      </c>
      <c r="E120">
        <f t="shared" si="12"/>
        <v>0</v>
      </c>
      <c r="F120">
        <f t="shared" si="13"/>
        <v>0</v>
      </c>
      <c r="G120">
        <f t="shared" si="13"/>
        <v>0</v>
      </c>
      <c r="H120">
        <f t="shared" si="14"/>
        <v>1</v>
      </c>
    </row>
    <row r="121" spans="3:8" x14ac:dyDescent="0.25">
      <c r="D121">
        <f t="shared" si="11"/>
        <v>0</v>
      </c>
      <c r="E121">
        <f t="shared" si="12"/>
        <v>0</v>
      </c>
      <c r="F121">
        <f t="shared" si="13"/>
        <v>0</v>
      </c>
      <c r="G121">
        <f t="shared" si="13"/>
        <v>0</v>
      </c>
      <c r="H121">
        <f t="shared" si="14"/>
        <v>1</v>
      </c>
    </row>
    <row r="122" spans="3:8" x14ac:dyDescent="0.25">
      <c r="D122">
        <f t="shared" si="11"/>
        <v>0</v>
      </c>
      <c r="E122">
        <f t="shared" si="12"/>
        <v>0</v>
      </c>
      <c r="F122">
        <f t="shared" si="13"/>
        <v>0</v>
      </c>
      <c r="G122">
        <f t="shared" si="13"/>
        <v>0</v>
      </c>
      <c r="H122">
        <f t="shared" si="14"/>
        <v>1</v>
      </c>
    </row>
    <row r="123" spans="3:8" x14ac:dyDescent="0.25">
      <c r="D123">
        <f t="shared" si="11"/>
        <v>0</v>
      </c>
      <c r="E123">
        <f t="shared" si="12"/>
        <v>0</v>
      </c>
      <c r="F123">
        <f t="shared" si="13"/>
        <v>0</v>
      </c>
      <c r="G123">
        <f t="shared" si="13"/>
        <v>0</v>
      </c>
      <c r="H123">
        <f t="shared" si="14"/>
        <v>1</v>
      </c>
    </row>
    <row r="124" spans="3:8" x14ac:dyDescent="0.25">
      <c r="D124">
        <f t="shared" si="11"/>
        <v>0</v>
      </c>
      <c r="E124">
        <f t="shared" si="12"/>
        <v>0</v>
      </c>
      <c r="F124">
        <f t="shared" si="13"/>
        <v>0</v>
      </c>
      <c r="G124">
        <f t="shared" si="13"/>
        <v>0</v>
      </c>
      <c r="H124">
        <f t="shared" si="14"/>
        <v>1</v>
      </c>
    </row>
    <row r="125" spans="3:8" x14ac:dyDescent="0.25">
      <c r="D125">
        <f t="shared" si="11"/>
        <v>0</v>
      </c>
      <c r="E125">
        <f t="shared" si="12"/>
        <v>0</v>
      </c>
      <c r="F125">
        <f t="shared" si="13"/>
        <v>0</v>
      </c>
      <c r="G125">
        <f t="shared" si="13"/>
        <v>0</v>
      </c>
      <c r="H125">
        <f t="shared" si="14"/>
        <v>1</v>
      </c>
    </row>
    <row r="126" spans="3:8" x14ac:dyDescent="0.25">
      <c r="D126">
        <f t="shared" si="11"/>
        <v>0</v>
      </c>
      <c r="E126">
        <f t="shared" si="12"/>
        <v>0</v>
      </c>
      <c r="F126">
        <f t="shared" si="13"/>
        <v>0</v>
      </c>
      <c r="G126">
        <f t="shared" si="13"/>
        <v>0</v>
      </c>
      <c r="H126">
        <f t="shared" si="14"/>
        <v>1</v>
      </c>
    </row>
    <row r="127" spans="3:8" x14ac:dyDescent="0.25">
      <c r="D127">
        <f t="shared" si="11"/>
        <v>0</v>
      </c>
      <c r="E127">
        <f t="shared" si="12"/>
        <v>0</v>
      </c>
      <c r="F127">
        <f t="shared" si="13"/>
        <v>0</v>
      </c>
      <c r="G127">
        <f t="shared" si="13"/>
        <v>0</v>
      </c>
      <c r="H127">
        <f t="shared" si="14"/>
        <v>1</v>
      </c>
    </row>
    <row r="128" spans="3:8" x14ac:dyDescent="0.25">
      <c r="D128">
        <f t="shared" si="11"/>
        <v>0</v>
      </c>
      <c r="E128">
        <f t="shared" si="12"/>
        <v>0</v>
      </c>
      <c r="F128">
        <f t="shared" si="13"/>
        <v>0</v>
      </c>
      <c r="G128">
        <f t="shared" si="13"/>
        <v>0</v>
      </c>
      <c r="H128">
        <f t="shared" si="14"/>
        <v>1</v>
      </c>
    </row>
    <row r="129" spans="3:8" x14ac:dyDescent="0.25">
      <c r="D129">
        <f t="shared" si="11"/>
        <v>0</v>
      </c>
      <c r="E129">
        <f t="shared" si="12"/>
        <v>0</v>
      </c>
      <c r="F129">
        <f t="shared" si="13"/>
        <v>0</v>
      </c>
      <c r="G129">
        <f t="shared" si="13"/>
        <v>0</v>
      </c>
      <c r="H129">
        <f t="shared" si="14"/>
        <v>1</v>
      </c>
    </row>
    <row r="130" spans="3:8" x14ac:dyDescent="0.25">
      <c r="D130">
        <f t="shared" si="11"/>
        <v>0</v>
      </c>
      <c r="E130">
        <f t="shared" si="12"/>
        <v>0</v>
      </c>
      <c r="F130">
        <f t="shared" si="13"/>
        <v>0</v>
      </c>
      <c r="G130">
        <f t="shared" si="13"/>
        <v>0</v>
      </c>
      <c r="H130">
        <f t="shared" si="14"/>
        <v>1</v>
      </c>
    </row>
    <row r="131" spans="3:8" x14ac:dyDescent="0.25">
      <c r="D131">
        <f t="shared" si="11"/>
        <v>0</v>
      </c>
      <c r="E131">
        <f t="shared" si="12"/>
        <v>0</v>
      </c>
      <c r="F131">
        <f t="shared" si="13"/>
        <v>0</v>
      </c>
      <c r="G131">
        <f t="shared" si="13"/>
        <v>0</v>
      </c>
      <c r="H131">
        <f t="shared" si="14"/>
        <v>1</v>
      </c>
    </row>
    <row r="132" spans="3:8" x14ac:dyDescent="0.25">
      <c r="D132">
        <f t="shared" si="11"/>
        <v>0</v>
      </c>
      <c r="E132">
        <f t="shared" si="12"/>
        <v>0</v>
      </c>
      <c r="F132">
        <f t="shared" si="13"/>
        <v>0</v>
      </c>
      <c r="G132">
        <f t="shared" si="13"/>
        <v>0</v>
      </c>
      <c r="H132">
        <f t="shared" si="14"/>
        <v>1</v>
      </c>
    </row>
    <row r="133" spans="3:8" x14ac:dyDescent="0.25">
      <c r="D133">
        <f t="shared" si="11"/>
        <v>0</v>
      </c>
      <c r="E133">
        <f t="shared" si="12"/>
        <v>0</v>
      </c>
      <c r="F133">
        <f t="shared" si="13"/>
        <v>0</v>
      </c>
      <c r="G133">
        <f t="shared" si="13"/>
        <v>0</v>
      </c>
      <c r="H133">
        <f t="shared" si="14"/>
        <v>1</v>
      </c>
    </row>
    <row r="134" spans="3:8" x14ac:dyDescent="0.25">
      <c r="D134">
        <f t="shared" si="11"/>
        <v>40</v>
      </c>
      <c r="E134">
        <f t="shared" si="12"/>
        <v>0</v>
      </c>
      <c r="F134">
        <f t="shared" si="13"/>
        <v>0</v>
      </c>
      <c r="G134">
        <f t="shared" si="13"/>
        <v>0</v>
      </c>
      <c r="H134">
        <f t="shared" si="14"/>
        <v>0.7</v>
      </c>
    </row>
    <row r="135" spans="3:8" x14ac:dyDescent="0.25">
      <c r="D135">
        <f t="shared" si="11"/>
        <v>0</v>
      </c>
      <c r="E135">
        <f t="shared" si="12"/>
        <v>0</v>
      </c>
      <c r="F135">
        <f t="shared" si="13"/>
        <v>0</v>
      </c>
      <c r="G135">
        <f t="shared" si="13"/>
        <v>0</v>
      </c>
      <c r="H135">
        <f t="shared" si="14"/>
        <v>1</v>
      </c>
    </row>
    <row r="136" spans="3:8" x14ac:dyDescent="0.25">
      <c r="D136">
        <f t="shared" si="11"/>
        <v>0</v>
      </c>
      <c r="E136">
        <f t="shared" si="12"/>
        <v>0</v>
      </c>
      <c r="F136">
        <f t="shared" si="13"/>
        <v>0</v>
      </c>
      <c r="G136">
        <f t="shared" si="13"/>
        <v>0</v>
      </c>
      <c r="H136">
        <f t="shared" si="14"/>
        <v>1</v>
      </c>
    </row>
    <row r="137" spans="3:8" x14ac:dyDescent="0.25">
      <c r="D137">
        <f t="shared" si="11"/>
        <v>0</v>
      </c>
      <c r="E137">
        <f t="shared" si="12"/>
        <v>0</v>
      </c>
      <c r="F137">
        <f t="shared" si="13"/>
        <v>0</v>
      </c>
      <c r="G137">
        <f t="shared" si="13"/>
        <v>0</v>
      </c>
      <c r="H137">
        <f t="shared" si="14"/>
        <v>1</v>
      </c>
    </row>
    <row r="138" spans="3:8" x14ac:dyDescent="0.25">
      <c r="D138">
        <f t="shared" si="11"/>
        <v>0</v>
      </c>
      <c r="E138">
        <f t="shared" si="12"/>
        <v>0</v>
      </c>
      <c r="F138">
        <f t="shared" si="13"/>
        <v>0</v>
      </c>
      <c r="G138">
        <f t="shared" si="13"/>
        <v>0</v>
      </c>
      <c r="H138">
        <f t="shared" si="14"/>
        <v>1</v>
      </c>
    </row>
    <row r="139" spans="3:8" x14ac:dyDescent="0.25">
      <c r="D139">
        <f t="shared" si="11"/>
        <v>0</v>
      </c>
      <c r="E139">
        <f t="shared" si="12"/>
        <v>0</v>
      </c>
      <c r="F139">
        <f t="shared" si="13"/>
        <v>0</v>
      </c>
      <c r="G139">
        <f t="shared" si="13"/>
        <v>0</v>
      </c>
      <c r="H139">
        <f t="shared" si="14"/>
        <v>1</v>
      </c>
    </row>
    <row r="140" spans="3:8" x14ac:dyDescent="0.25">
      <c r="D140">
        <f t="shared" si="11"/>
        <v>0</v>
      </c>
      <c r="E140">
        <f t="shared" si="12"/>
        <v>0</v>
      </c>
      <c r="F140">
        <f t="shared" si="13"/>
        <v>0</v>
      </c>
      <c r="G140">
        <f t="shared" si="13"/>
        <v>0</v>
      </c>
      <c r="H140">
        <f t="shared" si="14"/>
        <v>1</v>
      </c>
    </row>
    <row r="141" spans="3:8" x14ac:dyDescent="0.25">
      <c r="D141">
        <f t="shared" si="11"/>
        <v>0</v>
      </c>
      <c r="E141">
        <f t="shared" si="12"/>
        <v>0</v>
      </c>
      <c r="F141">
        <f t="shared" si="13"/>
        <v>0</v>
      </c>
      <c r="G141">
        <f t="shared" si="13"/>
        <v>0</v>
      </c>
      <c r="H141">
        <f t="shared" si="14"/>
        <v>1</v>
      </c>
    </row>
    <row r="142" spans="3:8" x14ac:dyDescent="0.25">
      <c r="D142">
        <f>D114*B114</f>
        <v>0</v>
      </c>
      <c r="E142">
        <f>E114*B114</f>
        <v>0</v>
      </c>
      <c r="F142">
        <f t="shared" si="13"/>
        <v>0</v>
      </c>
      <c r="G142">
        <f t="shared" si="13"/>
        <v>0</v>
      </c>
      <c r="H142">
        <f t="shared" si="14"/>
        <v>1</v>
      </c>
    </row>
    <row r="143" spans="3:8" x14ac:dyDescent="0.25">
      <c r="C143" s="2" t="s">
        <v>73</v>
      </c>
      <c r="D143">
        <f>SUM(D118:D142)</f>
        <v>40</v>
      </c>
      <c r="E143">
        <f>SUM(E118:E142)</f>
        <v>0</v>
      </c>
      <c r="F143">
        <f>SUM(F118:F142)</f>
        <v>0</v>
      </c>
      <c r="G143">
        <f>SUM(G118:G142)</f>
        <v>0</v>
      </c>
      <c r="H143">
        <f>PRODUCT(H118:H142)</f>
        <v>0.7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AH138"/>
  <sheetViews>
    <sheetView zoomScaleNormal="100" workbookViewId="0">
      <selection activeCell="B4" sqref="B4"/>
    </sheetView>
  </sheetViews>
  <sheetFormatPr defaultRowHeight="15" x14ac:dyDescent="0.25"/>
  <cols>
    <col min="3" max="3" width="19.5703125" customWidth="1"/>
  </cols>
  <sheetData>
    <row r="3" spans="2:31" x14ac:dyDescent="0.25">
      <c r="B3" t="s">
        <v>415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Q3" t="s">
        <v>236</v>
      </c>
      <c r="R3" t="s">
        <v>4</v>
      </c>
      <c r="U3" t="s">
        <v>5</v>
      </c>
      <c r="X3" t="s">
        <v>134</v>
      </c>
      <c r="Z3" t="s">
        <v>157</v>
      </c>
      <c r="AC3" t="s">
        <v>28</v>
      </c>
    </row>
    <row r="4" spans="2:31" x14ac:dyDescent="0.25">
      <c r="B4" t="s">
        <v>6</v>
      </c>
      <c r="C4">
        <v>18</v>
      </c>
      <c r="E4" t="s">
        <v>124</v>
      </c>
      <c r="F4">
        <v>17.000000000000004</v>
      </c>
      <c r="H4" t="s">
        <v>7</v>
      </c>
      <c r="I4">
        <v>616.28</v>
      </c>
      <c r="J4">
        <v>84.25</v>
      </c>
      <c r="L4" t="s">
        <v>7</v>
      </c>
      <c r="M4">
        <f>I4+J4*$F$4</f>
        <v>2048.5300000000002</v>
      </c>
      <c r="O4" t="s">
        <v>9</v>
      </c>
      <c r="P4">
        <f>L88+M8</f>
        <v>282.38</v>
      </c>
      <c r="Q4">
        <v>1</v>
      </c>
      <c r="R4" t="s">
        <v>10</v>
      </c>
      <c r="S4">
        <f>Q4*(4+10/18*C4)</f>
        <v>14</v>
      </c>
      <c r="U4" t="s">
        <v>10</v>
      </c>
      <c r="V4">
        <v>0</v>
      </c>
      <c r="X4">
        <v>1000</v>
      </c>
      <c r="Z4" t="s">
        <v>19</v>
      </c>
      <c r="AA4">
        <f>I9</f>
        <v>0.625</v>
      </c>
      <c r="AC4" t="s">
        <v>158</v>
      </c>
      <c r="AE4">
        <v>11.52</v>
      </c>
    </row>
    <row r="5" spans="2:31" x14ac:dyDescent="0.25">
      <c r="H5" t="s">
        <v>120</v>
      </c>
      <c r="I5">
        <v>7.84</v>
      </c>
      <c r="J5">
        <v>0.5</v>
      </c>
      <c r="L5" t="s">
        <v>120</v>
      </c>
      <c r="M5">
        <f t="shared" ref="M5:M12" si="0">I5+J5*$F$4</f>
        <v>16.340000000000003</v>
      </c>
      <c r="O5" t="s">
        <v>12</v>
      </c>
      <c r="P5">
        <f>M9+I9*M88</f>
        <v>0.9118750000000001</v>
      </c>
      <c r="R5" t="s">
        <v>13</v>
      </c>
      <c r="S5">
        <v>6.8</v>
      </c>
      <c r="U5" t="s">
        <v>13</v>
      </c>
      <c r="V5">
        <v>0</v>
      </c>
      <c r="Z5" t="s">
        <v>168</v>
      </c>
      <c r="AA5">
        <f>F4*J9</f>
        <v>0.45900000000000007</v>
      </c>
      <c r="AC5" t="s">
        <v>91</v>
      </c>
      <c r="AE5">
        <v>0.06</v>
      </c>
    </row>
    <row r="6" spans="2:31" x14ac:dyDescent="0.25">
      <c r="H6" t="s">
        <v>121</v>
      </c>
      <c r="L6" t="s">
        <v>121</v>
      </c>
      <c r="M6">
        <f t="shared" si="0"/>
        <v>0</v>
      </c>
      <c r="R6" t="s">
        <v>16</v>
      </c>
      <c r="S6">
        <f>L88</f>
        <v>148</v>
      </c>
      <c r="U6" t="s">
        <v>16</v>
      </c>
      <c r="V6">
        <v>0</v>
      </c>
      <c r="Z6" t="s">
        <v>10</v>
      </c>
      <c r="AA6">
        <v>0</v>
      </c>
      <c r="AC6" t="s">
        <v>393</v>
      </c>
      <c r="AE6">
        <f>G138</f>
        <v>0</v>
      </c>
    </row>
    <row r="7" spans="2:31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L7" t="s">
        <v>122</v>
      </c>
      <c r="M7">
        <f t="shared" si="0"/>
        <v>0</v>
      </c>
      <c r="O7" t="s">
        <v>7</v>
      </c>
      <c r="P7">
        <f>M4+L20</f>
        <v>2048.5300000000002</v>
      </c>
      <c r="R7" s="2"/>
      <c r="Z7" t="s">
        <v>158</v>
      </c>
      <c r="AA7">
        <v>0</v>
      </c>
      <c r="AC7" t="s">
        <v>394</v>
      </c>
      <c r="AE7">
        <f>H138</f>
        <v>0.7</v>
      </c>
    </row>
    <row r="8" spans="2:31" x14ac:dyDescent="0.25">
      <c r="B8" t="s">
        <v>25</v>
      </c>
      <c r="C8">
        <v>5</v>
      </c>
      <c r="D8">
        <f>5+25*C8</f>
        <v>130</v>
      </c>
      <c r="E8">
        <f>0.4*S10</f>
        <v>121.27200000000003</v>
      </c>
      <c r="F8">
        <f>E8+D8</f>
        <v>251.27200000000005</v>
      </c>
      <c r="H8" t="s">
        <v>8</v>
      </c>
      <c r="I8">
        <v>57.88</v>
      </c>
      <c r="J8">
        <v>4.5</v>
      </c>
      <c r="L8" t="s">
        <v>8</v>
      </c>
      <c r="M8">
        <f t="shared" si="0"/>
        <v>134.38000000000002</v>
      </c>
      <c r="O8" t="s">
        <v>120</v>
      </c>
      <c r="P8">
        <f>(M5+M5*M20+N20+V18*0.01)*(1+0.2*B29)</f>
        <v>37.799859000000005</v>
      </c>
      <c r="R8" t="s">
        <v>26</v>
      </c>
      <c r="S8">
        <f>SUM(S4:S7)</f>
        <v>168.8</v>
      </c>
      <c r="U8" t="s">
        <v>26</v>
      </c>
      <c r="V8">
        <f>SUM(V4:V7)</f>
        <v>0</v>
      </c>
      <c r="Z8" t="s">
        <v>159</v>
      </c>
      <c r="AA8">
        <f>M88</f>
        <v>0</v>
      </c>
    </row>
    <row r="9" spans="2:31" x14ac:dyDescent="0.25">
      <c r="H9" t="s">
        <v>14</v>
      </c>
      <c r="I9">
        <v>0.625</v>
      </c>
      <c r="J9">
        <v>2.7E-2</v>
      </c>
      <c r="L9" t="s">
        <v>14</v>
      </c>
      <c r="M9">
        <f>I9+I9*J9*$F$4</f>
        <v>0.9118750000000001</v>
      </c>
      <c r="O9" t="s">
        <v>15</v>
      </c>
      <c r="P9">
        <f>M10+J20</f>
        <v>78.536000000000016</v>
      </c>
    </row>
    <row r="10" spans="2:31" x14ac:dyDescent="0.25">
      <c r="H10" t="s">
        <v>15</v>
      </c>
      <c r="I10">
        <v>27.536000000000001</v>
      </c>
      <c r="J10">
        <v>3</v>
      </c>
      <c r="L10" t="s">
        <v>15</v>
      </c>
      <c r="M10">
        <f t="shared" si="0"/>
        <v>78.536000000000016</v>
      </c>
      <c r="O10" t="s">
        <v>23</v>
      </c>
      <c r="P10">
        <f>M11+K20</f>
        <v>53.350000000000009</v>
      </c>
      <c r="R10" t="s">
        <v>31</v>
      </c>
      <c r="S10">
        <f>S6+S4+S5+M8</f>
        <v>303.18000000000006</v>
      </c>
      <c r="U10" t="s">
        <v>32</v>
      </c>
      <c r="V10">
        <v>0</v>
      </c>
      <c r="Z10" t="s">
        <v>160</v>
      </c>
      <c r="AA10">
        <f>(1+SUM(AA5:AA8))*AA4</f>
        <v>0.91187499999999999</v>
      </c>
      <c r="AC10" t="s">
        <v>395</v>
      </c>
      <c r="AE10">
        <f>(1-AE5)*AE7</f>
        <v>0.65799999999999992</v>
      </c>
    </row>
    <row r="11" spans="2:31" x14ac:dyDescent="0.25">
      <c r="B11" t="s">
        <v>29</v>
      </c>
      <c r="C11">
        <v>5</v>
      </c>
      <c r="H11" t="s">
        <v>23</v>
      </c>
      <c r="I11">
        <v>32.1</v>
      </c>
      <c r="J11">
        <v>1.25</v>
      </c>
      <c r="L11" t="s">
        <v>23</v>
      </c>
      <c r="M11">
        <f t="shared" si="0"/>
        <v>53.350000000000009</v>
      </c>
      <c r="O11" t="s">
        <v>91</v>
      </c>
      <c r="AC11" t="s">
        <v>396</v>
      </c>
      <c r="AE11">
        <f>AE6+AE4</f>
        <v>11.52</v>
      </c>
    </row>
    <row r="12" spans="2:31" x14ac:dyDescent="0.25">
      <c r="H12" t="s">
        <v>123</v>
      </c>
      <c r="I12">
        <v>345</v>
      </c>
      <c r="L12" t="s">
        <v>123</v>
      </c>
      <c r="M12">
        <f t="shared" si="0"/>
        <v>345</v>
      </c>
      <c r="O12" t="s">
        <v>277</v>
      </c>
      <c r="P12">
        <v>0</v>
      </c>
      <c r="R12" t="s">
        <v>86</v>
      </c>
      <c r="U12" t="s">
        <v>88</v>
      </c>
      <c r="X12" t="s">
        <v>95</v>
      </c>
    </row>
    <row r="13" spans="2:31" x14ac:dyDescent="0.25">
      <c r="O13" t="s">
        <v>92</v>
      </c>
      <c r="P13">
        <v>0</v>
      </c>
      <c r="R13" t="s">
        <v>2</v>
      </c>
      <c r="S13">
        <f>M10</f>
        <v>78.536000000000016</v>
      </c>
      <c r="U13" t="s">
        <v>2</v>
      </c>
      <c r="V13">
        <f>M4</f>
        <v>2048.5300000000002</v>
      </c>
      <c r="X13" t="s">
        <v>2</v>
      </c>
      <c r="Y13">
        <f>M11</f>
        <v>53.350000000000009</v>
      </c>
    </row>
    <row r="14" spans="2:31" x14ac:dyDescent="0.25">
      <c r="B14" t="s">
        <v>33</v>
      </c>
      <c r="C14">
        <v>5</v>
      </c>
      <c r="D14">
        <f>(10+4*C14)*C15</f>
        <v>300</v>
      </c>
      <c r="E14">
        <f>(0.33+0.01*C14)*S10*(1+F138*(0.5+0.5*B88))*C15</f>
        <v>1152.0840000000003</v>
      </c>
      <c r="F14">
        <f>E14+D14</f>
        <v>1452.0840000000003</v>
      </c>
      <c r="O14" t="s">
        <v>93</v>
      </c>
      <c r="P14">
        <v>1</v>
      </c>
      <c r="R14" t="s">
        <v>10</v>
      </c>
      <c r="S14">
        <f>P12+2*P15</f>
        <v>0</v>
      </c>
      <c r="U14" t="s">
        <v>16</v>
      </c>
      <c r="V14">
        <f>L20</f>
        <v>0</v>
      </c>
      <c r="X14" t="s">
        <v>10</v>
      </c>
      <c r="Y14">
        <v>5</v>
      </c>
    </row>
    <row r="15" spans="2:31" x14ac:dyDescent="0.25">
      <c r="C15">
        <f>FLOOR((C4-1)/3,1)+5</f>
        <v>10</v>
      </c>
      <c r="O15" t="s">
        <v>94</v>
      </c>
      <c r="P15">
        <v>0</v>
      </c>
      <c r="R15" t="s">
        <v>13</v>
      </c>
      <c r="S15">
        <f>P16+3*P17/18*C4</f>
        <v>9</v>
      </c>
      <c r="U15" t="s">
        <v>158</v>
      </c>
      <c r="V15">
        <f>(24*P18/18*C4)</f>
        <v>0</v>
      </c>
      <c r="X15" t="s">
        <v>13</v>
      </c>
      <c r="Y15">
        <v>12</v>
      </c>
    </row>
    <row r="16" spans="2:31" x14ac:dyDescent="0.25">
      <c r="B16" t="s">
        <v>34</v>
      </c>
      <c r="C16">
        <v>3</v>
      </c>
      <c r="D16">
        <f>175*C16</f>
        <v>525</v>
      </c>
      <c r="E16">
        <f>(1/(4-0.5*C16))*E17</f>
        <v>1000</v>
      </c>
      <c r="F16">
        <f>E16+D16</f>
        <v>1525</v>
      </c>
      <c r="G16" t="s">
        <v>0</v>
      </c>
      <c r="N16" t="s">
        <v>158</v>
      </c>
      <c r="O16" t="s">
        <v>216</v>
      </c>
      <c r="P16">
        <v>9</v>
      </c>
      <c r="R16" t="s">
        <v>16</v>
      </c>
      <c r="S16">
        <f>J20</f>
        <v>0</v>
      </c>
      <c r="U16" t="s">
        <v>10</v>
      </c>
      <c r="V16">
        <f>36+0.03*(V13+V14+V15)*P14</f>
        <v>97.455900000000014</v>
      </c>
      <c r="X16" t="s">
        <v>16</v>
      </c>
      <c r="Y16">
        <f>K20</f>
        <v>0</v>
      </c>
    </row>
    <row r="17" spans="1:34" x14ac:dyDescent="0.25">
      <c r="D17" t="s">
        <v>296</v>
      </c>
      <c r="E17">
        <v>2500</v>
      </c>
      <c r="O17" t="s">
        <v>217</v>
      </c>
      <c r="P17">
        <v>0</v>
      </c>
      <c r="R17" s="2"/>
      <c r="S17" s="2"/>
      <c r="X17" s="2"/>
    </row>
    <row r="18" spans="1:34" x14ac:dyDescent="0.25">
      <c r="J18" s="2" t="s">
        <v>40</v>
      </c>
      <c r="O18" t="s">
        <v>357</v>
      </c>
      <c r="P18">
        <v>0</v>
      </c>
      <c r="R18" t="s">
        <v>10</v>
      </c>
      <c r="S18">
        <f>P13*0.025*SUM(S14:S17)</f>
        <v>0</v>
      </c>
      <c r="U18" t="s">
        <v>89</v>
      </c>
      <c r="V18">
        <f>SUM(V13:V16)</f>
        <v>2145.9859000000001</v>
      </c>
      <c r="X18" t="s">
        <v>10</v>
      </c>
      <c r="Y18">
        <f>P13*0.025*SUM(Y14:Y17)</f>
        <v>0</v>
      </c>
    </row>
    <row r="19" spans="1:34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  <c r="R19" s="2" t="s">
        <v>293</v>
      </c>
      <c r="S19" s="2">
        <v>15</v>
      </c>
      <c r="X19" s="2" t="s">
        <v>293</v>
      </c>
      <c r="Y19" s="2">
        <v>15</v>
      </c>
    </row>
    <row r="20" spans="1:34" x14ac:dyDescent="0.25">
      <c r="C20" t="s">
        <v>74</v>
      </c>
      <c r="F20">
        <v>1000</v>
      </c>
      <c r="J20">
        <f>D83</f>
        <v>0</v>
      </c>
      <c r="K20">
        <f>E83</f>
        <v>0</v>
      </c>
      <c r="L20">
        <f>F83*(1+0.25*B37)</f>
        <v>0</v>
      </c>
      <c r="M20">
        <f>G83</f>
        <v>0</v>
      </c>
      <c r="N20">
        <f>H83</f>
        <v>0</v>
      </c>
      <c r="R20" t="s">
        <v>90</v>
      </c>
      <c r="S20">
        <f>SUM(S13:S19)</f>
        <v>102.53600000000002</v>
      </c>
      <c r="X20" t="s">
        <v>96</v>
      </c>
      <c r="Y20">
        <f>SUM(Y13:Y19)</f>
        <v>85.350000000000009</v>
      </c>
      <c r="AD20" t="s">
        <v>301</v>
      </c>
    </row>
    <row r="21" spans="1:34" x14ac:dyDescent="0.25">
      <c r="C21" t="s">
        <v>117</v>
      </c>
      <c r="F21">
        <v>800</v>
      </c>
      <c r="H21">
        <f>V18*0.03</f>
        <v>64.379576999999998</v>
      </c>
    </row>
    <row r="22" spans="1:34" x14ac:dyDescent="0.25">
      <c r="C22" t="s">
        <v>75</v>
      </c>
      <c r="F22">
        <v>700</v>
      </c>
      <c r="R22" t="s">
        <v>98</v>
      </c>
      <c r="S22" t="s">
        <v>99</v>
      </c>
      <c r="U22" t="s">
        <v>100</v>
      </c>
      <c r="V22" t="s">
        <v>101</v>
      </c>
      <c r="W22">
        <v>4.1900000000000004</v>
      </c>
      <c r="X22">
        <v>5.3</v>
      </c>
      <c r="Y22" t="s">
        <v>118</v>
      </c>
      <c r="AB22" t="s">
        <v>298</v>
      </c>
      <c r="AD22" t="s">
        <v>299</v>
      </c>
      <c r="AF22" t="s">
        <v>300</v>
      </c>
      <c r="AH22" t="s">
        <v>302</v>
      </c>
    </row>
    <row r="23" spans="1:34" x14ac:dyDescent="0.25">
      <c r="C23" t="s">
        <v>80</v>
      </c>
      <c r="F23">
        <v>650</v>
      </c>
      <c r="P23" s="2" t="s">
        <v>97</v>
      </c>
      <c r="R23">
        <v>0</v>
      </c>
      <c r="S23">
        <v>0.06</v>
      </c>
      <c r="U23">
        <f>$S$20*(1-S23)-R23</f>
        <v>96.383840000000006</v>
      </c>
      <c r="V23">
        <f>$V$18*(100+U23)/100</f>
        <v>4214.3695162785607</v>
      </c>
      <c r="W23">
        <v>20715.592674699998</v>
      </c>
      <c r="X23">
        <v>16960</v>
      </c>
      <c r="Y23">
        <f>($V$18+$B$30*(50+10*$C$4))*(100+U23)/100</f>
        <v>4214.3695162785607</v>
      </c>
      <c r="Z23">
        <f>Y23/W23</f>
        <v>0.20343948553427488</v>
      </c>
      <c r="AB23">
        <f>Y23/0.7</f>
        <v>6020.5278803979445</v>
      </c>
      <c r="AD23">
        <f>0.7*U23-30</f>
        <v>37.468688</v>
      </c>
      <c r="AF23">
        <f>100/70*(100+U23)-100</f>
        <v>180.54834285714287</v>
      </c>
      <c r="AH23">
        <f>AF23-U23</f>
        <v>84.164502857142864</v>
      </c>
    </row>
    <row r="24" spans="1:34" x14ac:dyDescent="0.25">
      <c r="A24">
        <v>1</v>
      </c>
      <c r="C24" t="s">
        <v>76</v>
      </c>
      <c r="D24">
        <v>70</v>
      </c>
      <c r="F24">
        <v>500</v>
      </c>
      <c r="J24" s="2"/>
      <c r="K24" s="2" t="s">
        <v>42</v>
      </c>
      <c r="R24">
        <v>0</v>
      </c>
      <c r="S24">
        <v>0.38900000000000001</v>
      </c>
      <c r="U24">
        <f>$S$20*(1-S24)-R24</f>
        <v>62.649496000000006</v>
      </c>
      <c r="V24">
        <f>$V$18*(100+U24)/100</f>
        <v>3490.4352505810639</v>
      </c>
      <c r="Y24">
        <f>($V$18+$B$30*(50+10*$C$4))*(100+U24)/100</f>
        <v>3490.4352505810639</v>
      </c>
      <c r="AB24">
        <f>Y24/0.7</f>
        <v>4986.3360722586631</v>
      </c>
      <c r="AD24">
        <f>0.7*U24-30</f>
        <v>13.854647200000002</v>
      </c>
      <c r="AF24">
        <f>100/70*(100+U24)-100</f>
        <v>132.35642285714286</v>
      </c>
      <c r="AH24">
        <f>AF24-U24</f>
        <v>69.706926857142861</v>
      </c>
    </row>
    <row r="25" spans="1:34" x14ac:dyDescent="0.25">
      <c r="C25" t="s">
        <v>83</v>
      </c>
      <c r="F25">
        <v>500</v>
      </c>
      <c r="G25">
        <v>1</v>
      </c>
      <c r="K25" t="s">
        <v>346</v>
      </c>
      <c r="M25">
        <f>M95</f>
        <v>303.18000000000006</v>
      </c>
      <c r="R25">
        <v>20</v>
      </c>
      <c r="S25">
        <v>0.06</v>
      </c>
      <c r="U25">
        <f>$S$20*(1-S25)-R25</f>
        <v>76.383840000000006</v>
      </c>
      <c r="V25">
        <f>$V$18*(100+U25)/100</f>
        <v>3785.1723362785606</v>
      </c>
      <c r="Y25">
        <f>($V$18+$B$30*(50+10*$C$4))*(100+U25)/100</f>
        <v>3785.1723362785606</v>
      </c>
      <c r="AB25">
        <f>Y25/0.7</f>
        <v>5407.3890518265152</v>
      </c>
      <c r="AD25">
        <f>0.7*U25-30</f>
        <v>23.468688</v>
      </c>
      <c r="AF25">
        <f>100/70*(100+U25)-100</f>
        <v>151.97691428571432</v>
      </c>
      <c r="AH25">
        <f>AF25-U25</f>
        <v>75.593074285714309</v>
      </c>
    </row>
    <row r="26" spans="1:34" x14ac:dyDescent="0.25">
      <c r="C26" t="s">
        <v>229</v>
      </c>
      <c r="F26">
        <v>500</v>
      </c>
      <c r="K26" t="s">
        <v>25</v>
      </c>
      <c r="M26">
        <f>F8</f>
        <v>251.27200000000005</v>
      </c>
      <c r="R26">
        <v>20</v>
      </c>
      <c r="S26">
        <v>0.38900000000000001</v>
      </c>
      <c r="U26">
        <f>$S$20*(1-S26)-R26</f>
        <v>42.649496000000006</v>
      </c>
      <c r="V26">
        <f>$V$18*(100+U26)/100</f>
        <v>3061.2380705810642</v>
      </c>
      <c r="Y26">
        <f>($V$18+$B$30*(50+10*$C$4))*(100+U26)/100</f>
        <v>3061.2380705810642</v>
      </c>
      <c r="AB26">
        <f>Y26/0.7</f>
        <v>4373.1972436872347</v>
      </c>
      <c r="AD26">
        <f>0.7*U26-30</f>
        <v>-0.14535279999999773</v>
      </c>
      <c r="AF26">
        <f>100/70*(100+U26)-100</f>
        <v>103.78499428571428</v>
      </c>
      <c r="AH26">
        <f>AF26-U26</f>
        <v>61.13549828571427</v>
      </c>
    </row>
    <row r="27" spans="1:34" x14ac:dyDescent="0.25">
      <c r="A27">
        <v>1</v>
      </c>
      <c r="C27" t="s">
        <v>77</v>
      </c>
      <c r="D27">
        <v>45</v>
      </c>
      <c r="F27">
        <v>450</v>
      </c>
      <c r="K27" t="s">
        <v>33</v>
      </c>
      <c r="M27">
        <f>F14</f>
        <v>1452.0840000000003</v>
      </c>
      <c r="R27">
        <v>10</v>
      </c>
      <c r="S27">
        <f>1-(1*0.94*0.65*0.75)</f>
        <v>0.54174999999999995</v>
      </c>
      <c r="U27">
        <f>$S$20*(1-S27)-R27</f>
        <v>36.987122000000014</v>
      </c>
      <c r="V27">
        <f>$V$18*(100+U27)/100</f>
        <v>2939.7243229357978</v>
      </c>
      <c r="W27">
        <v>12376.585678916252</v>
      </c>
      <c r="Y27">
        <f>($V$18+$B$30*(50+10*$C$4))*(100+U27)/100</f>
        <v>2939.7243229357978</v>
      </c>
      <c r="Z27">
        <f>Y27/W27</f>
        <v>0.23752304546670525</v>
      </c>
      <c r="AB27">
        <f>Y27/0.7</f>
        <v>4199.6061756225681</v>
      </c>
      <c r="AD27">
        <f>0.7*U27-30</f>
        <v>-4.1090145999999912</v>
      </c>
      <c r="AF27">
        <f>100/70*(100+U27)-100</f>
        <v>95.695888571428583</v>
      </c>
      <c r="AH27">
        <f>AF27-U27</f>
        <v>58.708766571428569</v>
      </c>
    </row>
    <row r="28" spans="1:34" x14ac:dyDescent="0.25">
      <c r="A28">
        <v>1</v>
      </c>
      <c r="C28" t="s">
        <v>78</v>
      </c>
      <c r="E28">
        <v>55</v>
      </c>
      <c r="F28">
        <v>450</v>
      </c>
      <c r="G28">
        <v>1</v>
      </c>
      <c r="K28" s="3" t="s">
        <v>323</v>
      </c>
      <c r="M28">
        <f>2*M8*B99</f>
        <v>0</v>
      </c>
    </row>
    <row r="29" spans="1:34" x14ac:dyDescent="0.25">
      <c r="A29">
        <v>1</v>
      </c>
      <c r="C29" t="s">
        <v>79</v>
      </c>
      <c r="E29">
        <v>55</v>
      </c>
      <c r="F29">
        <v>400</v>
      </c>
      <c r="G29">
        <v>1</v>
      </c>
      <c r="K29" s="3" t="s">
        <v>356</v>
      </c>
      <c r="M29">
        <f>M95*B107</f>
        <v>0</v>
      </c>
    </row>
    <row r="30" spans="1:34" x14ac:dyDescent="0.25">
      <c r="A30">
        <v>1</v>
      </c>
      <c r="C30" t="s">
        <v>81</v>
      </c>
      <c r="E30">
        <v>40</v>
      </c>
      <c r="F30">
        <v>400</v>
      </c>
      <c r="G30">
        <v>0.75</v>
      </c>
      <c r="K30" t="s">
        <v>347</v>
      </c>
      <c r="M30">
        <f>2*M25+M26+M27</f>
        <v>2309.7160000000003</v>
      </c>
    </row>
    <row r="31" spans="1:34" x14ac:dyDescent="0.25">
      <c r="C31" t="s">
        <v>82</v>
      </c>
      <c r="F31">
        <v>400</v>
      </c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  <c r="X31">
        <v>5.3</v>
      </c>
      <c r="AD31" t="s">
        <v>299</v>
      </c>
      <c r="AF31" t="s">
        <v>300</v>
      </c>
      <c r="AH31" t="s">
        <v>302</v>
      </c>
    </row>
    <row r="32" spans="1:34" x14ac:dyDescent="0.25">
      <c r="C32" t="s">
        <v>84</v>
      </c>
      <c r="F32">
        <v>380</v>
      </c>
      <c r="K32" s="2" t="s">
        <v>348</v>
      </c>
      <c r="M32">
        <v>1</v>
      </c>
      <c r="R32">
        <v>0</v>
      </c>
      <c r="S32">
        <v>0.06</v>
      </c>
      <c r="U32">
        <f t="shared" ref="U32:U37" si="1">$Y$20*(1-S32)-R32</f>
        <v>80.228999999999999</v>
      </c>
      <c r="V32">
        <f t="shared" ref="V32:V37" si="2">$V$18*(100+U32)/100</f>
        <v>3867.6889277109999</v>
      </c>
      <c r="W32">
        <v>11332.5147474</v>
      </c>
      <c r="X32">
        <v>14352</v>
      </c>
      <c r="Y32">
        <f t="shared" ref="Y32:Y37" si="3">($V$18+$B$30*(50+10*$C$4))*(100+U32)/100</f>
        <v>3867.6889277109999</v>
      </c>
      <c r="Z32">
        <f>Y32/W32</f>
        <v>0.34129132093989617</v>
      </c>
      <c r="AB32">
        <f t="shared" ref="AB32:AB37" si="4">Y32/0.7</f>
        <v>5525.2698967300003</v>
      </c>
      <c r="AD32">
        <f t="shared" ref="AD32:AD37" si="5">0.7*U32-30</f>
        <v>26.160299999999992</v>
      </c>
      <c r="AF32">
        <f t="shared" ref="AF32:AF37" si="6">100/70*(100+U32)-100</f>
        <v>157.46999999999997</v>
      </c>
      <c r="AH32">
        <f t="shared" ref="AH32:AH37" si="7">AF32-U32</f>
        <v>77.240999999999971</v>
      </c>
    </row>
    <row r="33" spans="1:34" x14ac:dyDescent="0.25">
      <c r="C33" t="s">
        <v>278</v>
      </c>
      <c r="D33">
        <v>50</v>
      </c>
      <c r="F33">
        <v>300</v>
      </c>
      <c r="G33">
        <v>1</v>
      </c>
      <c r="K33" t="s">
        <v>349</v>
      </c>
      <c r="M33">
        <v>0.06</v>
      </c>
      <c r="R33">
        <v>0</v>
      </c>
      <c r="S33">
        <v>0.38900000000000001</v>
      </c>
      <c r="U33">
        <f t="shared" si="1"/>
        <v>52.148850000000003</v>
      </c>
      <c r="V33">
        <f t="shared" si="2"/>
        <v>3265.0928680121501</v>
      </c>
      <c r="Y33">
        <f t="shared" si="3"/>
        <v>3265.0928680121501</v>
      </c>
      <c r="AB33">
        <f t="shared" si="4"/>
        <v>4664.4183828745008</v>
      </c>
      <c r="AD33">
        <f t="shared" si="5"/>
        <v>6.5041950000000028</v>
      </c>
      <c r="AF33">
        <f t="shared" si="6"/>
        <v>117.35550000000001</v>
      </c>
      <c r="AH33">
        <f t="shared" si="7"/>
        <v>65.206649999999996</v>
      </c>
    </row>
    <row r="34" spans="1:34" x14ac:dyDescent="0.25">
      <c r="C34" t="s">
        <v>59</v>
      </c>
      <c r="F34">
        <v>250</v>
      </c>
      <c r="K34" t="s">
        <v>350</v>
      </c>
      <c r="M34">
        <f>0.3*B103</f>
        <v>0.3</v>
      </c>
      <c r="R34">
        <v>15</v>
      </c>
      <c r="S34">
        <v>0.06</v>
      </c>
      <c r="U34">
        <f t="shared" si="1"/>
        <v>65.228999999999999</v>
      </c>
      <c r="V34">
        <f t="shared" si="2"/>
        <v>3545.7910427109996</v>
      </c>
      <c r="Y34">
        <f t="shared" si="3"/>
        <v>3545.7910427109996</v>
      </c>
      <c r="AB34">
        <f t="shared" si="4"/>
        <v>5065.4157753014279</v>
      </c>
      <c r="AD34">
        <f t="shared" si="5"/>
        <v>15.660299999999999</v>
      </c>
      <c r="AF34">
        <f t="shared" si="6"/>
        <v>136.04142857142855</v>
      </c>
      <c r="AH34">
        <f t="shared" si="7"/>
        <v>70.812428571428555</v>
      </c>
    </row>
    <row r="35" spans="1:34" x14ac:dyDescent="0.25">
      <c r="C35" t="s">
        <v>240</v>
      </c>
      <c r="E35">
        <v>40</v>
      </c>
      <c r="F35">
        <v>200</v>
      </c>
      <c r="K35" t="s">
        <v>351</v>
      </c>
      <c r="M35">
        <f>0.35*B91</f>
        <v>0</v>
      </c>
      <c r="R35">
        <v>15</v>
      </c>
      <c r="S35">
        <v>0.38900000000000001</v>
      </c>
      <c r="U35">
        <f t="shared" si="1"/>
        <v>37.148850000000003</v>
      </c>
      <c r="V35">
        <f t="shared" si="2"/>
        <v>2943.1949830121507</v>
      </c>
      <c r="Y35">
        <f t="shared" si="3"/>
        <v>2943.1949830121507</v>
      </c>
      <c r="AB35">
        <f t="shared" si="4"/>
        <v>4204.5642614459302</v>
      </c>
      <c r="AD35">
        <f t="shared" si="5"/>
        <v>-3.9958050000000007</v>
      </c>
      <c r="AF35">
        <f t="shared" si="6"/>
        <v>95.92692857142859</v>
      </c>
      <c r="AH35">
        <f t="shared" si="7"/>
        <v>58.778078571428587</v>
      </c>
    </row>
    <row r="36" spans="1:34" x14ac:dyDescent="0.25">
      <c r="C36" t="s">
        <v>107</v>
      </c>
      <c r="F36">
        <v>150</v>
      </c>
      <c r="K36" t="s">
        <v>352</v>
      </c>
      <c r="M36">
        <f>(1-M33)*(1-M34)*(1-M35)</f>
        <v>0.65799999999999992</v>
      </c>
      <c r="O36">
        <v>300</v>
      </c>
      <c r="P36">
        <v>200</v>
      </c>
      <c r="Q36">
        <v>100</v>
      </c>
      <c r="R36">
        <v>30</v>
      </c>
      <c r="S36">
        <v>0.06</v>
      </c>
      <c r="U36">
        <f t="shared" si="1"/>
        <v>50.228999999999999</v>
      </c>
      <c r="V36">
        <f t="shared" si="2"/>
        <v>3223.8931577109997</v>
      </c>
      <c r="Y36">
        <f t="shared" si="3"/>
        <v>3223.8931577109997</v>
      </c>
      <c r="AB36">
        <f t="shared" si="4"/>
        <v>4605.5616538728573</v>
      </c>
      <c r="AD36">
        <f t="shared" si="5"/>
        <v>5.1602999999999994</v>
      </c>
      <c r="AF36">
        <f t="shared" si="6"/>
        <v>114.61285714285714</v>
      </c>
      <c r="AH36">
        <f t="shared" si="7"/>
        <v>64.383857142857138</v>
      </c>
    </row>
    <row r="37" spans="1:34" x14ac:dyDescent="0.25">
      <c r="C37" t="s">
        <v>85</v>
      </c>
      <c r="F37">
        <v>300</v>
      </c>
      <c r="I37">
        <f>(V14+V16+V15)*0.25</f>
        <v>24.363975000000003</v>
      </c>
      <c r="K37" t="s">
        <v>354</v>
      </c>
      <c r="M37">
        <v>11.52</v>
      </c>
      <c r="N37" s="1" t="s">
        <v>410</v>
      </c>
      <c r="O37">
        <v>526.70000000000005</v>
      </c>
      <c r="P37">
        <v>684.1</v>
      </c>
      <c r="Q37">
        <v>975.9</v>
      </c>
      <c r="R37">
        <v>30</v>
      </c>
      <c r="S37">
        <v>0.38900000000000001</v>
      </c>
      <c r="U37">
        <f t="shared" si="1"/>
        <v>22.148850000000003</v>
      </c>
      <c r="V37">
        <f t="shared" si="2"/>
        <v>2621.2970980121504</v>
      </c>
      <c r="W37">
        <v>7642.2235858100003</v>
      </c>
      <c r="Y37">
        <f t="shared" si="3"/>
        <v>2621.2970980121504</v>
      </c>
      <c r="Z37">
        <f>Y37/W37</f>
        <v>0.34300188532554154</v>
      </c>
      <c r="AB37">
        <f t="shared" si="4"/>
        <v>3744.7101400173578</v>
      </c>
      <c r="AD37">
        <f t="shared" si="5"/>
        <v>-14.495804999999999</v>
      </c>
      <c r="AF37">
        <f t="shared" si="6"/>
        <v>74.498357142857174</v>
      </c>
      <c r="AH37">
        <f t="shared" si="7"/>
        <v>52.349507142857171</v>
      </c>
    </row>
    <row r="38" spans="1:34" x14ac:dyDescent="0.25">
      <c r="C38" t="s">
        <v>115</v>
      </c>
      <c r="F38">
        <v>80</v>
      </c>
      <c r="H38">
        <v>6</v>
      </c>
      <c r="K38" t="s">
        <v>355</v>
      </c>
      <c r="M38">
        <f>20*B97+10*B102</f>
        <v>0</v>
      </c>
      <c r="N38" s="1" t="s">
        <v>411</v>
      </c>
      <c r="O38">
        <v>522.54999999999995</v>
      </c>
      <c r="P38">
        <v>671</v>
      </c>
      <c r="Q38">
        <v>937.3</v>
      </c>
    </row>
    <row r="39" spans="1:34" x14ac:dyDescent="0.25">
      <c r="C39" t="s">
        <v>106</v>
      </c>
      <c r="D39">
        <v>100</v>
      </c>
      <c r="K39" s="2" t="s">
        <v>353</v>
      </c>
      <c r="M39">
        <f>M30*100/(100+M44*M36-IF(M44*M36&gt;M37,M37,M44*M36))</f>
        <v>1497.0935960591135</v>
      </c>
      <c r="O39">
        <f>O37/O38</f>
        <v>1.0079418237489237</v>
      </c>
      <c r="P39">
        <f>P37/P38</f>
        <v>1.0195230998509688</v>
      </c>
      <c r="Q39">
        <f>Q37/Q38</f>
        <v>1.0411821188520218</v>
      </c>
      <c r="X39">
        <v>15700</v>
      </c>
      <c r="AA39" t="s">
        <v>285</v>
      </c>
    </row>
    <row r="40" spans="1:34" x14ac:dyDescent="0.25">
      <c r="C40" t="s">
        <v>105</v>
      </c>
      <c r="D40">
        <v>100</v>
      </c>
      <c r="X40">
        <v>14750</v>
      </c>
    </row>
    <row r="41" spans="1:34" x14ac:dyDescent="0.25">
      <c r="C41" t="s">
        <v>113</v>
      </c>
      <c r="D41">
        <v>50</v>
      </c>
      <c r="L41" t="s">
        <v>220</v>
      </c>
      <c r="M41">
        <v>2000</v>
      </c>
      <c r="Q41" t="s">
        <v>226</v>
      </c>
      <c r="R41">
        <v>10</v>
      </c>
    </row>
    <row r="42" spans="1:34" x14ac:dyDescent="0.25">
      <c r="C42" t="s">
        <v>297</v>
      </c>
      <c r="D42">
        <v>40</v>
      </c>
      <c r="G42">
        <v>1</v>
      </c>
      <c r="L42" t="s">
        <v>221</v>
      </c>
      <c r="M42">
        <v>2200</v>
      </c>
      <c r="Q42" t="s">
        <v>227</v>
      </c>
      <c r="R42">
        <f>5+1.67/18*B2*9</f>
        <v>5</v>
      </c>
      <c r="U42" t="s">
        <v>149</v>
      </c>
    </row>
    <row r="43" spans="1:34" x14ac:dyDescent="0.25">
      <c r="C43" t="s">
        <v>108</v>
      </c>
      <c r="D43">
        <v>40</v>
      </c>
      <c r="L43" t="s">
        <v>89</v>
      </c>
      <c r="M43">
        <v>4400</v>
      </c>
      <c r="Q43" t="s">
        <v>228</v>
      </c>
      <c r="R43">
        <v>35</v>
      </c>
      <c r="T43" t="s">
        <v>388</v>
      </c>
      <c r="U43">
        <v>7</v>
      </c>
      <c r="V43">
        <f>(36+625.64+98*U43)*1.03</f>
        <v>1388.0691999999999</v>
      </c>
    </row>
    <row r="44" spans="1:34" x14ac:dyDescent="0.25">
      <c r="A44">
        <v>1</v>
      </c>
      <c r="C44" t="s">
        <v>109</v>
      </c>
      <c r="D44">
        <v>25</v>
      </c>
      <c r="L44" t="s">
        <v>277</v>
      </c>
      <c r="M44">
        <v>100</v>
      </c>
      <c r="T44" t="s">
        <v>386</v>
      </c>
      <c r="U44">
        <f>MAX(1.5*U43,12)</f>
        <v>12</v>
      </c>
      <c r="X44" t="s">
        <v>277</v>
      </c>
      <c r="Y44">
        <v>9</v>
      </c>
    </row>
    <row r="45" spans="1:34" x14ac:dyDescent="0.25">
      <c r="C45" t="s">
        <v>114</v>
      </c>
      <c r="D45">
        <v>15</v>
      </c>
    </row>
    <row r="46" spans="1:34" x14ac:dyDescent="0.25">
      <c r="C46" t="s">
        <v>116</v>
      </c>
      <c r="E46">
        <v>50</v>
      </c>
      <c r="M46" t="s">
        <v>218</v>
      </c>
      <c r="N46" t="s">
        <v>268</v>
      </c>
      <c r="O46" t="s">
        <v>269</v>
      </c>
      <c r="T46" s="2" t="s">
        <v>309</v>
      </c>
    </row>
    <row r="47" spans="1:34" x14ac:dyDescent="0.25">
      <c r="C47" t="s">
        <v>127</v>
      </c>
      <c r="E47">
        <f>3/18*6*C4</f>
        <v>18</v>
      </c>
      <c r="L47" t="s">
        <v>25</v>
      </c>
      <c r="M47">
        <f>F8+M95</f>
        <v>554.45200000000011</v>
      </c>
      <c r="N47">
        <v>8</v>
      </c>
      <c r="O47">
        <f>(1-0.01*$R$43)*N47</f>
        <v>5.1999999999999993</v>
      </c>
      <c r="T47" s="3" t="s">
        <v>305</v>
      </c>
      <c r="U47" s="3"/>
      <c r="V47" s="3">
        <f>V43</f>
        <v>1388.0691999999999</v>
      </c>
      <c r="X47" t="s">
        <v>307</v>
      </c>
      <c r="Z47">
        <f>V49*175</f>
        <v>175</v>
      </c>
    </row>
    <row r="48" spans="1:34" x14ac:dyDescent="0.25">
      <c r="C48" t="s">
        <v>119</v>
      </c>
      <c r="D48">
        <v>2</v>
      </c>
      <c r="E48">
        <v>0.9</v>
      </c>
      <c r="F48">
        <v>129</v>
      </c>
      <c r="T48" s="3" t="s">
        <v>304</v>
      </c>
      <c r="U48" s="3"/>
      <c r="V48" s="3">
        <f>M11+U44</f>
        <v>65.350000000000009</v>
      </c>
      <c r="X48" t="s">
        <v>308</v>
      </c>
      <c r="Z48">
        <f>1/(4-0.5*V49)</f>
        <v>0.2857142857142857</v>
      </c>
    </row>
    <row r="49" spans="3:27" x14ac:dyDescent="0.25">
      <c r="C49" t="s">
        <v>110</v>
      </c>
      <c r="E49">
        <v>25</v>
      </c>
      <c r="T49" s="3" t="s">
        <v>306</v>
      </c>
      <c r="U49" s="3"/>
      <c r="V49" s="3">
        <v>1</v>
      </c>
    </row>
    <row r="50" spans="3:27" x14ac:dyDescent="0.25">
      <c r="L50" t="s">
        <v>29</v>
      </c>
      <c r="M50">
        <f>F11</f>
        <v>0</v>
      </c>
      <c r="N50">
        <v>12</v>
      </c>
      <c r="O50">
        <f>(1-0.01*$R$43)*N50</f>
        <v>7.7999999999999989</v>
      </c>
    </row>
    <row r="51" spans="3:27" x14ac:dyDescent="0.25">
      <c r="T51" s="2" t="s">
        <v>303</v>
      </c>
      <c r="U51" s="2"/>
      <c r="V51" s="2">
        <f>(Z47/V47+Z48)/((100+V48)/100+Z48)</f>
        <v>0.21234821486027583</v>
      </c>
      <c r="W51">
        <f>V51*V47</f>
        <v>294.75401672253116</v>
      </c>
    </row>
    <row r="52" spans="3:27" x14ac:dyDescent="0.25">
      <c r="C52" s="2" t="s">
        <v>72</v>
      </c>
    </row>
    <row r="53" spans="3:27" x14ac:dyDescent="0.25">
      <c r="D53">
        <f>D20*$B20</f>
        <v>0</v>
      </c>
      <c r="E53">
        <f>E20*$B20</f>
        <v>0</v>
      </c>
      <c r="F53">
        <f>F20*$B20</f>
        <v>0</v>
      </c>
      <c r="G53">
        <f>G20*$B20</f>
        <v>0</v>
      </c>
      <c r="H53">
        <f>H20*$B20</f>
        <v>0</v>
      </c>
      <c r="L53" t="s">
        <v>33</v>
      </c>
      <c r="M53">
        <f>F14</f>
        <v>1452.0840000000003</v>
      </c>
      <c r="N53">
        <f>14-C14</f>
        <v>9</v>
      </c>
      <c r="O53">
        <f>(1-0.01*$R$43)*N53</f>
        <v>5.85</v>
      </c>
    </row>
    <row r="54" spans="3:27" x14ac:dyDescent="0.25">
      <c r="D54">
        <f t="shared" ref="D54:H69" si="8">D21*$B21</f>
        <v>0</v>
      </c>
      <c r="E54">
        <f t="shared" si="8"/>
        <v>0</v>
      </c>
      <c r="F54">
        <f t="shared" si="8"/>
        <v>0</v>
      </c>
      <c r="G54">
        <f t="shared" si="8"/>
        <v>0</v>
      </c>
      <c r="H54">
        <f t="shared" si="8"/>
        <v>0</v>
      </c>
    </row>
    <row r="55" spans="3:27" x14ac:dyDescent="0.25">
      <c r="D55">
        <f t="shared" si="8"/>
        <v>0</v>
      </c>
      <c r="E55">
        <f t="shared" si="8"/>
        <v>0</v>
      </c>
      <c r="F55">
        <f t="shared" si="8"/>
        <v>0</v>
      </c>
      <c r="G55">
        <f t="shared" si="8"/>
        <v>0</v>
      </c>
      <c r="H55">
        <f t="shared" si="8"/>
        <v>0</v>
      </c>
      <c r="L55" t="s">
        <v>362</v>
      </c>
      <c r="M55" s="2">
        <f>M53+M47</f>
        <v>2006.5360000000005</v>
      </c>
    </row>
    <row r="56" spans="3:27" x14ac:dyDescent="0.25">
      <c r="D56">
        <f t="shared" si="8"/>
        <v>0</v>
      </c>
      <c r="E56">
        <f t="shared" si="8"/>
        <v>0</v>
      </c>
      <c r="F56">
        <f t="shared" si="8"/>
        <v>0</v>
      </c>
      <c r="G56">
        <f t="shared" si="8"/>
        <v>0</v>
      </c>
      <c r="H56">
        <f t="shared" si="8"/>
        <v>0</v>
      </c>
      <c r="L56" t="s">
        <v>389</v>
      </c>
      <c r="M56">
        <f>M55+S10</f>
        <v>2309.7160000000003</v>
      </c>
    </row>
    <row r="57" spans="3:27" x14ac:dyDescent="0.25">
      <c r="D57">
        <f t="shared" si="8"/>
        <v>0</v>
      </c>
      <c r="E57">
        <f t="shared" si="8"/>
        <v>0</v>
      </c>
      <c r="F57">
        <f t="shared" si="8"/>
        <v>0</v>
      </c>
      <c r="G57">
        <f t="shared" si="8"/>
        <v>0</v>
      </c>
      <c r="H57">
        <f t="shared" si="8"/>
        <v>0</v>
      </c>
      <c r="L57" t="s">
        <v>356</v>
      </c>
      <c r="M57">
        <f>S10*B107</f>
        <v>0</v>
      </c>
      <c r="Y57" t="s">
        <v>316</v>
      </c>
    </row>
    <row r="58" spans="3:27" x14ac:dyDescent="0.25">
      <c r="D58">
        <f t="shared" si="8"/>
        <v>0</v>
      </c>
      <c r="E58">
        <f t="shared" si="8"/>
        <v>0</v>
      </c>
      <c r="F58">
        <f t="shared" si="8"/>
        <v>0</v>
      </c>
      <c r="G58">
        <f t="shared" si="8"/>
        <v>0</v>
      </c>
      <c r="H58">
        <f t="shared" si="8"/>
        <v>0</v>
      </c>
      <c r="L58" t="s">
        <v>397</v>
      </c>
      <c r="M58" t="s">
        <v>398</v>
      </c>
      <c r="N58" t="s">
        <v>399</v>
      </c>
      <c r="O58" t="s">
        <v>400</v>
      </c>
      <c r="P58" t="s">
        <v>401</v>
      </c>
      <c r="Q58" t="s">
        <v>402</v>
      </c>
      <c r="T58" s="1" t="s">
        <v>408</v>
      </c>
      <c r="Y58">
        <v>50</v>
      </c>
    </row>
    <row r="59" spans="3:27" x14ac:dyDescent="0.25">
      <c r="D59">
        <f t="shared" si="8"/>
        <v>0</v>
      </c>
      <c r="E59">
        <f t="shared" si="8"/>
        <v>0</v>
      </c>
      <c r="F59">
        <f t="shared" si="8"/>
        <v>0</v>
      </c>
      <c r="G59">
        <f t="shared" si="8"/>
        <v>0</v>
      </c>
      <c r="H59">
        <f t="shared" si="8"/>
        <v>0</v>
      </c>
      <c r="L59">
        <v>100</v>
      </c>
      <c r="M59">
        <f>L59*$AE$10</f>
        <v>65.8</v>
      </c>
      <c r="N59">
        <f>$AE$11</f>
        <v>11.52</v>
      </c>
      <c r="O59">
        <f>M59-N59</f>
        <v>54.28</v>
      </c>
      <c r="P59">
        <f>100/(100+O59)</f>
        <v>0.64817215452424159</v>
      </c>
      <c r="Q59">
        <f>P59*$M$56</f>
        <v>1497.0935960591135</v>
      </c>
      <c r="T59">
        <f>(M$56+M$57)*P59</f>
        <v>1497.0935960591135</v>
      </c>
    </row>
    <row r="60" spans="3:27" x14ac:dyDescent="0.25">
      <c r="D60">
        <f t="shared" si="8"/>
        <v>0</v>
      </c>
      <c r="E60">
        <f t="shared" si="8"/>
        <v>0</v>
      </c>
      <c r="F60">
        <f t="shared" si="8"/>
        <v>0</v>
      </c>
      <c r="G60">
        <f t="shared" si="8"/>
        <v>0</v>
      </c>
      <c r="H60">
        <f t="shared" si="8"/>
        <v>0</v>
      </c>
      <c r="L60">
        <v>200</v>
      </c>
      <c r="M60">
        <f>L60*$AE$10</f>
        <v>131.6</v>
      </c>
      <c r="N60">
        <f>$AE$11</f>
        <v>11.52</v>
      </c>
      <c r="O60">
        <f>M60-N60</f>
        <v>120.08</v>
      </c>
      <c r="P60">
        <f>100/(100+O60)</f>
        <v>0.45438022537259182</v>
      </c>
      <c r="Q60">
        <f>P60*$M$56</f>
        <v>1049.4892766266814</v>
      </c>
      <c r="T60">
        <f>(M$56+M$57)*P60</f>
        <v>1049.4892766266814</v>
      </c>
      <c r="Y60" t="s">
        <v>317</v>
      </c>
    </row>
    <row r="61" spans="3:27" x14ac:dyDescent="0.25">
      <c r="D61">
        <f t="shared" si="8"/>
        <v>0</v>
      </c>
      <c r="E61">
        <f t="shared" si="8"/>
        <v>0</v>
      </c>
      <c r="F61">
        <f t="shared" si="8"/>
        <v>0</v>
      </c>
      <c r="G61">
        <f t="shared" si="8"/>
        <v>0</v>
      </c>
      <c r="H61">
        <f t="shared" si="8"/>
        <v>0</v>
      </c>
      <c r="L61">
        <v>300</v>
      </c>
      <c r="M61">
        <f>L61*$AE$10</f>
        <v>197.39999999999998</v>
      </c>
      <c r="N61">
        <f>$AE$11</f>
        <v>11.52</v>
      </c>
      <c r="O61">
        <f>M61-N61</f>
        <v>185.87999999999997</v>
      </c>
      <c r="P61">
        <f>100/(100+O61)</f>
        <v>0.34979711767175037</v>
      </c>
      <c r="Q61">
        <f>P61*$M$56</f>
        <v>807.93199944032472</v>
      </c>
      <c r="T61">
        <f>(M$56+M$57)*P61</f>
        <v>807.93199944032472</v>
      </c>
      <c r="Y61">
        <v>0.06</v>
      </c>
    </row>
    <row r="62" spans="3:27" x14ac:dyDescent="0.25">
      <c r="D62">
        <f t="shared" si="8"/>
        <v>0</v>
      </c>
      <c r="E62">
        <f t="shared" si="8"/>
        <v>0</v>
      </c>
      <c r="F62">
        <f t="shared" si="8"/>
        <v>0</v>
      </c>
      <c r="G62">
        <f t="shared" si="8"/>
        <v>0</v>
      </c>
      <c r="H62">
        <f t="shared" si="8"/>
        <v>0</v>
      </c>
    </row>
    <row r="63" spans="3:27" x14ac:dyDescent="0.25">
      <c r="D63">
        <f t="shared" si="8"/>
        <v>0</v>
      </c>
      <c r="E63">
        <f t="shared" si="8"/>
        <v>0</v>
      </c>
      <c r="F63">
        <f t="shared" si="8"/>
        <v>0</v>
      </c>
      <c r="G63">
        <f t="shared" si="8"/>
        <v>0</v>
      </c>
      <c r="H63">
        <f t="shared" si="8"/>
        <v>0</v>
      </c>
      <c r="K63" t="s">
        <v>403</v>
      </c>
      <c r="L63" t="s">
        <v>404</v>
      </c>
      <c r="N63" t="s">
        <v>405</v>
      </c>
      <c r="P63" t="s">
        <v>406</v>
      </c>
      <c r="R63" t="s">
        <v>361</v>
      </c>
      <c r="T63" t="s">
        <v>407</v>
      </c>
      <c r="Y63" t="s">
        <v>318</v>
      </c>
      <c r="AA63">
        <f>100/(100+Y58)</f>
        <v>0.66666666666666663</v>
      </c>
    </row>
    <row r="64" spans="3:27" x14ac:dyDescent="0.25">
      <c r="D64">
        <f t="shared" si="8"/>
        <v>0</v>
      </c>
      <c r="E64">
        <f t="shared" si="8"/>
        <v>0</v>
      </c>
      <c r="F64">
        <f t="shared" si="8"/>
        <v>0</v>
      </c>
      <c r="G64">
        <f t="shared" si="8"/>
        <v>0</v>
      </c>
      <c r="H64">
        <f t="shared" si="8"/>
        <v>0</v>
      </c>
      <c r="J64">
        <v>100</v>
      </c>
      <c r="K64">
        <v>975.9</v>
      </c>
      <c r="L64">
        <v>1321.9</v>
      </c>
      <c r="M64">
        <f>L64/$K64</f>
        <v>1.3545445230044064</v>
      </c>
      <c r="N64">
        <v>1253</v>
      </c>
      <c r="O64">
        <f>N64/$K64</f>
        <v>1.2839430269494825</v>
      </c>
      <c r="P64">
        <f>1320.9</f>
        <v>1320.9</v>
      </c>
      <c r="Q64">
        <f>P64/$K64</f>
        <v>1.3535198278512144</v>
      </c>
      <c r="R64">
        <f>1472.3</f>
        <v>1472.3</v>
      </c>
      <c r="S64">
        <f>R64/$K64</f>
        <v>1.5086586740444718</v>
      </c>
      <c r="T64">
        <v>1281.4000000000001</v>
      </c>
      <c r="U64">
        <f>T64/$K64</f>
        <v>1.3130443693001332</v>
      </c>
      <c r="Y64" t="s">
        <v>319</v>
      </c>
      <c r="AA64">
        <f>100/(100+Y58*(1-Y61))</f>
        <v>0.68027210884353739</v>
      </c>
    </row>
    <row r="65" spans="4:29" x14ac:dyDescent="0.25">
      <c r="D65">
        <f t="shared" si="8"/>
        <v>0</v>
      </c>
      <c r="E65">
        <f t="shared" si="8"/>
        <v>0</v>
      </c>
      <c r="F65">
        <f t="shared" si="8"/>
        <v>0</v>
      </c>
      <c r="G65">
        <f t="shared" si="8"/>
        <v>0</v>
      </c>
      <c r="H65">
        <f t="shared" si="8"/>
        <v>0</v>
      </c>
      <c r="J65">
        <v>200</v>
      </c>
      <c r="K65">
        <v>684.1</v>
      </c>
      <c r="L65">
        <v>887.1</v>
      </c>
      <c r="M65">
        <f>L65/K65</f>
        <v>1.2967402426545827</v>
      </c>
      <c r="N65">
        <v>878.4</v>
      </c>
      <c r="O65">
        <f>N65/$K65</f>
        <v>1.2840228036836718</v>
      </c>
      <c r="P65">
        <v>996.2</v>
      </c>
      <c r="Q65">
        <f>P65/$K65</f>
        <v>1.4562198508989914</v>
      </c>
      <c r="R65">
        <v>1032.0999999999999</v>
      </c>
      <c r="S65">
        <f>R65/$K65</f>
        <v>1.5086975588364273</v>
      </c>
      <c r="T65">
        <v>898.3</v>
      </c>
      <c r="U65">
        <f>T65/$K65</f>
        <v>1.3131121181113872</v>
      </c>
      <c r="Y65" t="s">
        <v>320</v>
      </c>
      <c r="AA65">
        <f>(AA64-AA63)/AA64</f>
        <v>2.0000000000000021E-2</v>
      </c>
    </row>
    <row r="66" spans="4:29" x14ac:dyDescent="0.25">
      <c r="D66">
        <f t="shared" si="8"/>
        <v>0</v>
      </c>
      <c r="E66">
        <f t="shared" si="8"/>
        <v>0</v>
      </c>
      <c r="F66">
        <f t="shared" si="8"/>
        <v>0</v>
      </c>
      <c r="G66">
        <f t="shared" si="8"/>
        <v>0</v>
      </c>
      <c r="H66">
        <f t="shared" si="8"/>
        <v>0</v>
      </c>
      <c r="J66">
        <v>300</v>
      </c>
      <c r="K66">
        <v>526.70000000000005</v>
      </c>
      <c r="L66">
        <v>667.6</v>
      </c>
      <c r="M66">
        <f>L66/K66</f>
        <v>1.2675147142585912</v>
      </c>
      <c r="N66">
        <v>676.2</v>
      </c>
      <c r="O66">
        <f>N66/$K66</f>
        <v>1.2838427947598252</v>
      </c>
      <c r="P66">
        <v>799.7</v>
      </c>
      <c r="Q66">
        <f>P66/$K66</f>
        <v>1.518321625213594</v>
      </c>
      <c r="R66">
        <v>794.5</v>
      </c>
      <c r="S66">
        <f>R66/$K66</f>
        <v>1.5084488323523826</v>
      </c>
      <c r="T66">
        <v>691.5</v>
      </c>
      <c r="U66">
        <f>T66/$K66</f>
        <v>1.3128915891399278</v>
      </c>
    </row>
    <row r="67" spans="4:29" x14ac:dyDescent="0.25">
      <c r="D67">
        <f t="shared" si="8"/>
        <v>0</v>
      </c>
      <c r="E67">
        <f t="shared" si="8"/>
        <v>0</v>
      </c>
      <c r="F67">
        <f t="shared" si="8"/>
        <v>0</v>
      </c>
      <c r="G67">
        <f t="shared" si="8"/>
        <v>0</v>
      </c>
      <c r="H67">
        <f t="shared" si="8"/>
        <v>0</v>
      </c>
    </row>
    <row r="68" spans="4:29" x14ac:dyDescent="0.25">
      <c r="D68">
        <f t="shared" si="8"/>
        <v>0</v>
      </c>
      <c r="E68">
        <f t="shared" si="8"/>
        <v>0</v>
      </c>
      <c r="F68">
        <f t="shared" si="8"/>
        <v>0</v>
      </c>
      <c r="G68">
        <f t="shared" si="8"/>
        <v>0</v>
      </c>
      <c r="H68">
        <f t="shared" si="8"/>
        <v>0</v>
      </c>
      <c r="M68" t="s">
        <v>287</v>
      </c>
      <c r="N68" t="s">
        <v>133</v>
      </c>
    </row>
    <row r="69" spans="4:29" x14ac:dyDescent="0.25">
      <c r="D69">
        <f t="shared" si="8"/>
        <v>0</v>
      </c>
      <c r="E69">
        <f t="shared" si="8"/>
        <v>0</v>
      </c>
      <c r="F69">
        <f t="shared" si="8"/>
        <v>0</v>
      </c>
      <c r="G69">
        <f t="shared" si="8"/>
        <v>0</v>
      </c>
      <c r="H69">
        <f t="shared" si="8"/>
        <v>0</v>
      </c>
      <c r="L69" t="s">
        <v>222</v>
      </c>
      <c r="M69">
        <f>M47+M72</f>
        <v>554.45200000000011</v>
      </c>
      <c r="N69">
        <f>M69/(O47+4.5)</f>
        <v>57.160000000000018</v>
      </c>
      <c r="T69" t="s">
        <v>369</v>
      </c>
      <c r="W69" t="s">
        <v>375</v>
      </c>
      <c r="AA69" t="s">
        <v>371</v>
      </c>
    </row>
    <row r="70" spans="4:29" x14ac:dyDescent="0.25">
      <c r="D70">
        <f t="shared" ref="D70:H82" si="9">D37*$B37</f>
        <v>0</v>
      </c>
      <c r="E70">
        <f t="shared" si="9"/>
        <v>0</v>
      </c>
      <c r="F70">
        <f t="shared" si="9"/>
        <v>0</v>
      </c>
      <c r="G70">
        <f t="shared" si="9"/>
        <v>0</v>
      </c>
      <c r="H70">
        <f t="shared" si="9"/>
        <v>0</v>
      </c>
      <c r="L70" t="s">
        <v>223</v>
      </c>
      <c r="M70">
        <f>M50</f>
        <v>0</v>
      </c>
      <c r="N70">
        <f>M70/O50</f>
        <v>0</v>
      </c>
      <c r="R70" s="2"/>
      <c r="V70" t="s">
        <v>362</v>
      </c>
    </row>
    <row r="71" spans="4:29" x14ac:dyDescent="0.25">
      <c r="D71">
        <f t="shared" si="9"/>
        <v>0</v>
      </c>
      <c r="E71">
        <f t="shared" si="9"/>
        <v>0</v>
      </c>
      <c r="F71">
        <f t="shared" si="9"/>
        <v>0</v>
      </c>
      <c r="G71">
        <f t="shared" si="9"/>
        <v>0</v>
      </c>
      <c r="H71">
        <f t="shared" si="9"/>
        <v>0</v>
      </c>
      <c r="L71" t="s">
        <v>224</v>
      </c>
      <c r="M71">
        <f>M53</f>
        <v>1452.0840000000003</v>
      </c>
      <c r="N71">
        <f>M71/(O53+3)</f>
        <v>164.07728813559325</v>
      </c>
      <c r="T71" t="s">
        <v>363</v>
      </c>
      <c r="V71">
        <f>371.8</f>
        <v>371.8</v>
      </c>
      <c r="W71">
        <v>270.60000000000002</v>
      </c>
      <c r="AA71" t="s">
        <v>372</v>
      </c>
      <c r="AC71">
        <v>254</v>
      </c>
    </row>
    <row r="72" spans="4:29" x14ac:dyDescent="0.25">
      <c r="D72">
        <f t="shared" si="9"/>
        <v>0</v>
      </c>
      <c r="E72">
        <f t="shared" si="9"/>
        <v>0</v>
      </c>
      <c r="F72">
        <f t="shared" si="9"/>
        <v>0</v>
      </c>
      <c r="G72">
        <f t="shared" si="9"/>
        <v>0</v>
      </c>
      <c r="H72">
        <f t="shared" si="9"/>
        <v>0</v>
      </c>
      <c r="L72" t="s">
        <v>294</v>
      </c>
      <c r="T72" t="s">
        <v>364</v>
      </c>
      <c r="V72">
        <v>343.1</v>
      </c>
      <c r="W72">
        <v>272.3</v>
      </c>
      <c r="AA72" t="s">
        <v>114</v>
      </c>
      <c r="AC72">
        <v>240</v>
      </c>
    </row>
    <row r="73" spans="4:29" x14ac:dyDescent="0.25">
      <c r="D73">
        <f t="shared" si="9"/>
        <v>0</v>
      </c>
      <c r="E73">
        <f t="shared" si="9"/>
        <v>0</v>
      </c>
      <c r="F73">
        <f t="shared" si="9"/>
        <v>0</v>
      </c>
      <c r="G73">
        <f t="shared" si="9"/>
        <v>0</v>
      </c>
      <c r="H73">
        <f t="shared" si="9"/>
        <v>0</v>
      </c>
      <c r="L73" t="s">
        <v>233</v>
      </c>
      <c r="M73">
        <f>SUM(M69:M71)</f>
        <v>2006.5360000000005</v>
      </c>
      <c r="N73">
        <f>SUM(N69:N71)</f>
        <v>221.23728813559327</v>
      </c>
      <c r="W73">
        <f>W72/W71</f>
        <v>1.0062823355506283</v>
      </c>
    </row>
    <row r="74" spans="4:29" x14ac:dyDescent="0.25">
      <c r="D74">
        <f t="shared" si="9"/>
        <v>0</v>
      </c>
      <c r="E74">
        <f t="shared" si="9"/>
        <v>0</v>
      </c>
      <c r="F74">
        <f t="shared" si="9"/>
        <v>0</v>
      </c>
      <c r="G74">
        <f t="shared" si="9"/>
        <v>0</v>
      </c>
      <c r="H74">
        <f t="shared" si="9"/>
        <v>0</v>
      </c>
      <c r="L74" t="s">
        <v>239</v>
      </c>
      <c r="N74">
        <f>B37*(24+1.5*C4)+B27*(25+C4)</f>
        <v>0</v>
      </c>
    </row>
    <row r="75" spans="4:29" x14ac:dyDescent="0.25">
      <c r="D75">
        <f t="shared" si="9"/>
        <v>0</v>
      </c>
      <c r="E75">
        <f t="shared" si="9"/>
        <v>0</v>
      </c>
      <c r="F75">
        <f t="shared" si="9"/>
        <v>0</v>
      </c>
      <c r="G75">
        <f t="shared" si="9"/>
        <v>0</v>
      </c>
      <c r="H75">
        <f t="shared" si="9"/>
        <v>0</v>
      </c>
      <c r="L75" t="s">
        <v>329</v>
      </c>
      <c r="M75">
        <f>2*M8*B99</f>
        <v>0</v>
      </c>
      <c r="N75">
        <f>M75/8</f>
        <v>0</v>
      </c>
      <c r="P75" t="s">
        <v>361</v>
      </c>
      <c r="T75" t="s">
        <v>370</v>
      </c>
    </row>
    <row r="76" spans="4:29" x14ac:dyDescent="0.25">
      <c r="D76">
        <f t="shared" si="9"/>
        <v>0</v>
      </c>
      <c r="E76">
        <f t="shared" si="9"/>
        <v>0</v>
      </c>
      <c r="F76">
        <f t="shared" si="9"/>
        <v>0</v>
      </c>
      <c r="G76">
        <f t="shared" si="9"/>
        <v>0</v>
      </c>
      <c r="H76">
        <f t="shared" si="9"/>
        <v>0</v>
      </c>
      <c r="L76" t="s">
        <v>360</v>
      </c>
      <c r="M76">
        <f>S10*B107</f>
        <v>0</v>
      </c>
      <c r="P76">
        <v>2061</v>
      </c>
      <c r="Q76">
        <v>553</v>
      </c>
      <c r="T76" t="s">
        <v>363</v>
      </c>
      <c r="V76">
        <v>496.9</v>
      </c>
      <c r="W76">
        <v>347</v>
      </c>
      <c r="AA76" t="s">
        <v>372</v>
      </c>
      <c r="AC76">
        <v>342.3</v>
      </c>
    </row>
    <row r="77" spans="4:29" x14ac:dyDescent="0.25">
      <c r="D77">
        <f t="shared" si="9"/>
        <v>0</v>
      </c>
      <c r="E77">
        <f t="shared" si="9"/>
        <v>0</v>
      </c>
      <c r="F77">
        <f t="shared" si="9"/>
        <v>0</v>
      </c>
      <c r="G77">
        <f t="shared" si="9"/>
        <v>0</v>
      </c>
      <c r="H77">
        <f t="shared" si="9"/>
        <v>0</v>
      </c>
      <c r="L77" t="s">
        <v>232</v>
      </c>
      <c r="N77">
        <f>M99</f>
        <v>276.46226250000007</v>
      </c>
      <c r="T77" t="s">
        <v>364</v>
      </c>
      <c r="V77">
        <v>464.6</v>
      </c>
      <c r="W77">
        <v>352.8</v>
      </c>
      <c r="AA77" t="s">
        <v>114</v>
      </c>
      <c r="AC77">
        <v>304.5</v>
      </c>
    </row>
    <row r="78" spans="4:29" x14ac:dyDescent="0.25">
      <c r="D78">
        <f t="shared" si="9"/>
        <v>0</v>
      </c>
      <c r="E78">
        <f t="shared" si="9"/>
        <v>0</v>
      </c>
      <c r="F78">
        <f t="shared" si="9"/>
        <v>0</v>
      </c>
      <c r="G78">
        <f t="shared" si="9"/>
        <v>0</v>
      </c>
      <c r="H78">
        <f t="shared" si="9"/>
        <v>0</v>
      </c>
      <c r="L78" t="s">
        <v>234</v>
      </c>
      <c r="M78">
        <f>SUM(M73:M75)</f>
        <v>2006.5360000000005</v>
      </c>
      <c r="N78" s="2">
        <f>N77+N73+N74+N75</f>
        <v>497.69955063559337</v>
      </c>
      <c r="P78" t="s">
        <v>329</v>
      </c>
      <c r="W78">
        <f>W77/W76</f>
        <v>1.0167146974063401</v>
      </c>
    </row>
    <row r="79" spans="4:29" x14ac:dyDescent="0.25">
      <c r="D79">
        <f t="shared" si="9"/>
        <v>0</v>
      </c>
      <c r="E79">
        <f t="shared" si="9"/>
        <v>0</v>
      </c>
      <c r="F79">
        <f t="shared" si="9"/>
        <v>0</v>
      </c>
      <c r="G79">
        <f t="shared" si="9"/>
        <v>0</v>
      </c>
      <c r="H79">
        <f t="shared" si="9"/>
        <v>0</v>
      </c>
      <c r="P79">
        <v>1809</v>
      </c>
      <c r="Q79">
        <v>480</v>
      </c>
      <c r="T79" t="s">
        <v>376</v>
      </c>
    </row>
    <row r="80" spans="4:29" x14ac:dyDescent="0.25">
      <c r="D80">
        <f t="shared" si="9"/>
        <v>0</v>
      </c>
      <c r="E80">
        <f t="shared" si="9"/>
        <v>0</v>
      </c>
      <c r="F80">
        <f t="shared" si="9"/>
        <v>0</v>
      </c>
      <c r="G80">
        <f t="shared" si="9"/>
        <v>0</v>
      </c>
      <c r="H80">
        <f t="shared" si="9"/>
        <v>0</v>
      </c>
      <c r="T80" t="s">
        <v>363</v>
      </c>
      <c r="V80">
        <v>1367.4</v>
      </c>
      <c r="W80">
        <v>684</v>
      </c>
    </row>
    <row r="81" spans="2:23" x14ac:dyDescent="0.25">
      <c r="D81">
        <f t="shared" si="9"/>
        <v>0</v>
      </c>
      <c r="E81">
        <f t="shared" si="9"/>
        <v>0</v>
      </c>
      <c r="F81">
        <f t="shared" si="9"/>
        <v>0</v>
      </c>
      <c r="G81">
        <f t="shared" si="9"/>
        <v>0</v>
      </c>
      <c r="H81">
        <f t="shared" si="9"/>
        <v>0</v>
      </c>
      <c r="T81" t="s">
        <v>364</v>
      </c>
      <c r="V81">
        <v>1327.4459999999999</v>
      </c>
      <c r="W81">
        <v>717</v>
      </c>
    </row>
    <row r="82" spans="2:23" x14ac:dyDescent="0.25">
      <c r="D82">
        <f t="shared" si="9"/>
        <v>0</v>
      </c>
      <c r="E82">
        <f t="shared" si="9"/>
        <v>0</v>
      </c>
      <c r="F82">
        <f t="shared" si="9"/>
        <v>0</v>
      </c>
      <c r="G82">
        <f t="shared" si="9"/>
        <v>0</v>
      </c>
      <c r="H82">
        <f t="shared" si="9"/>
        <v>0</v>
      </c>
      <c r="W82">
        <f>W81/W80</f>
        <v>1.0482456140350878</v>
      </c>
    </row>
    <row r="83" spans="2:23" x14ac:dyDescent="0.25">
      <c r="C83" s="2" t="s">
        <v>73</v>
      </c>
      <c r="D83">
        <f>SUM(D53:D82)</f>
        <v>0</v>
      </c>
      <c r="E83">
        <f>SUM(E53:E82)</f>
        <v>0</v>
      </c>
      <c r="F83">
        <f>SUM(F53:F82)</f>
        <v>0</v>
      </c>
      <c r="G83">
        <f>SUM(G53:G82)</f>
        <v>0</v>
      </c>
      <c r="H83">
        <f>SUM(H53:H82)</f>
        <v>0</v>
      </c>
      <c r="R83" t="s">
        <v>255</v>
      </c>
      <c r="T83" t="s">
        <v>256</v>
      </c>
      <c r="U83" t="s">
        <v>258</v>
      </c>
      <c r="V83" t="s">
        <v>259</v>
      </c>
    </row>
    <row r="84" spans="2:23" x14ac:dyDescent="0.25">
      <c r="R84">
        <f>S20</f>
        <v>102.53600000000002</v>
      </c>
      <c r="S84">
        <f>100/(100+S20)</f>
        <v>0.49373938460323102</v>
      </c>
    </row>
    <row r="85" spans="2:23" x14ac:dyDescent="0.25">
      <c r="Q85" t="s">
        <v>257</v>
      </c>
      <c r="S85">
        <f>S84*0.9</f>
        <v>0.44436544614290791</v>
      </c>
      <c r="T85">
        <f>100/S85-100</f>
        <v>125.04000000000002</v>
      </c>
      <c r="U85">
        <f>T85-R84</f>
        <v>22.504000000000005</v>
      </c>
    </row>
    <row r="86" spans="2:23" x14ac:dyDescent="0.25">
      <c r="Q86" t="s">
        <v>259</v>
      </c>
      <c r="S86">
        <f>S85*0.85</f>
        <v>0.37771062922147169</v>
      </c>
      <c r="T86">
        <f>100/S86-100</f>
        <v>164.75294117647064</v>
      </c>
      <c r="V86">
        <f>T86-T85</f>
        <v>39.712941176470622</v>
      </c>
    </row>
    <row r="87" spans="2:23" x14ac:dyDescent="0.25">
      <c r="B87" s="2" t="s">
        <v>35</v>
      </c>
      <c r="C87" s="2" t="s">
        <v>36</v>
      </c>
      <c r="D87" s="2" t="s">
        <v>37</v>
      </c>
      <c r="E87" s="2" t="s">
        <v>38</v>
      </c>
      <c r="F87" s="2" t="s">
        <v>39</v>
      </c>
      <c r="G87" s="2" t="s">
        <v>391</v>
      </c>
      <c r="H87" s="2" t="s">
        <v>392</v>
      </c>
      <c r="K87" s="2" t="s">
        <v>40</v>
      </c>
      <c r="L87" s="2" t="s">
        <v>37</v>
      </c>
      <c r="M87" s="2" t="s">
        <v>38</v>
      </c>
      <c r="N87" s="2" t="s">
        <v>41</v>
      </c>
    </row>
    <row r="88" spans="2:23" x14ac:dyDescent="0.25">
      <c r="C88" t="s">
        <v>43</v>
      </c>
      <c r="D88">
        <v>80</v>
      </c>
      <c r="E88">
        <v>0</v>
      </c>
      <c r="F88">
        <v>0.25</v>
      </c>
      <c r="L88">
        <f>D138</f>
        <v>148</v>
      </c>
      <c r="M88">
        <f>E138</f>
        <v>0</v>
      </c>
      <c r="N88">
        <f>F138</f>
        <v>0</v>
      </c>
    </row>
    <row r="89" spans="2:23" x14ac:dyDescent="0.25">
      <c r="C89" t="s">
        <v>44</v>
      </c>
      <c r="D89">
        <v>0</v>
      </c>
      <c r="E89">
        <v>0.5</v>
      </c>
      <c r="F89">
        <v>0.3</v>
      </c>
    </row>
    <row r="90" spans="2:23" x14ac:dyDescent="0.25">
      <c r="C90" t="s">
        <v>45</v>
      </c>
      <c r="E90">
        <v>0.4</v>
      </c>
      <c r="F90">
        <v>0.2</v>
      </c>
      <c r="K90" t="s">
        <v>12</v>
      </c>
      <c r="M90">
        <f>AA10</f>
        <v>0.91187499999999999</v>
      </c>
    </row>
    <row r="91" spans="2:23" x14ac:dyDescent="0.25">
      <c r="C91" t="s">
        <v>46</v>
      </c>
      <c r="D91">
        <v>40</v>
      </c>
      <c r="E91">
        <v>0</v>
      </c>
      <c r="F91">
        <v>0</v>
      </c>
      <c r="H91">
        <v>0.35</v>
      </c>
    </row>
    <row r="92" spans="2:23" x14ac:dyDescent="0.25">
      <c r="C92" t="s">
        <v>47</v>
      </c>
      <c r="D92">
        <v>80</v>
      </c>
      <c r="E92">
        <v>0</v>
      </c>
      <c r="F92">
        <v>0</v>
      </c>
      <c r="K92" t="s">
        <v>48</v>
      </c>
      <c r="M92">
        <v>2.5</v>
      </c>
    </row>
    <row r="93" spans="2:23" x14ac:dyDescent="0.25">
      <c r="C93" t="s">
        <v>49</v>
      </c>
      <c r="D93">
        <v>80</v>
      </c>
    </row>
    <row r="94" spans="2:23" x14ac:dyDescent="0.25">
      <c r="C94" t="s">
        <v>50</v>
      </c>
      <c r="D94">
        <v>7</v>
      </c>
      <c r="K94" t="s">
        <v>51</v>
      </c>
      <c r="M94">
        <f>S10</f>
        <v>303.18000000000006</v>
      </c>
    </row>
    <row r="95" spans="2:23" x14ac:dyDescent="0.25">
      <c r="C95" t="s">
        <v>52</v>
      </c>
      <c r="D95">
        <v>25</v>
      </c>
      <c r="E95">
        <v>0.5</v>
      </c>
      <c r="K95" t="s">
        <v>53</v>
      </c>
      <c r="M95">
        <f>M94*(1+1.5*N88)</f>
        <v>303.18000000000006</v>
      </c>
    </row>
    <row r="96" spans="2:23" x14ac:dyDescent="0.25">
      <c r="C96" t="s">
        <v>54</v>
      </c>
      <c r="D96">
        <v>25</v>
      </c>
      <c r="E96">
        <v>0.4</v>
      </c>
      <c r="F96">
        <v>0</v>
      </c>
      <c r="K96" t="s">
        <v>55</v>
      </c>
      <c r="M96">
        <f>M94*IF(B88,2.5,2)</f>
        <v>606.36000000000013</v>
      </c>
    </row>
    <row r="97" spans="2:13" x14ac:dyDescent="0.25">
      <c r="C97" t="s">
        <v>56</v>
      </c>
      <c r="D97">
        <v>30</v>
      </c>
      <c r="E97">
        <v>0</v>
      </c>
      <c r="F97">
        <v>0.15</v>
      </c>
      <c r="G97">
        <v>20</v>
      </c>
    </row>
    <row r="98" spans="2:13" x14ac:dyDescent="0.25">
      <c r="C98" t="s">
        <v>57</v>
      </c>
      <c r="E98">
        <v>0.2</v>
      </c>
      <c r="K98" t="s">
        <v>58</v>
      </c>
      <c r="M98">
        <f>S10*M90</f>
        <v>276.46226250000007</v>
      </c>
    </row>
    <row r="99" spans="2:13" x14ac:dyDescent="0.25">
      <c r="C99" t="s">
        <v>59</v>
      </c>
      <c r="D99">
        <v>30</v>
      </c>
      <c r="E99">
        <v>0.3</v>
      </c>
      <c r="F99">
        <v>0.1</v>
      </c>
      <c r="K99" t="s">
        <v>60</v>
      </c>
      <c r="M99">
        <f>M98*(1+1.5*N88)</f>
        <v>276.46226250000007</v>
      </c>
    </row>
    <row r="100" spans="2:13" x14ac:dyDescent="0.25">
      <c r="C100" t="s">
        <v>61</v>
      </c>
      <c r="D100">
        <v>20</v>
      </c>
    </row>
    <row r="101" spans="2:13" x14ac:dyDescent="0.25">
      <c r="B101">
        <v>1.25</v>
      </c>
      <c r="C101" t="s">
        <v>62</v>
      </c>
      <c r="D101">
        <v>60</v>
      </c>
    </row>
    <row r="102" spans="2:13" x14ac:dyDescent="0.25">
      <c r="C102" t="s">
        <v>63</v>
      </c>
      <c r="D102">
        <v>25</v>
      </c>
      <c r="G102">
        <v>10</v>
      </c>
    </row>
    <row r="103" spans="2:13" x14ac:dyDescent="0.25">
      <c r="B103">
        <v>1</v>
      </c>
      <c r="C103" t="s">
        <v>64</v>
      </c>
      <c r="D103">
        <v>40</v>
      </c>
      <c r="H103">
        <v>0.3</v>
      </c>
    </row>
    <row r="104" spans="2:13" x14ac:dyDescent="0.25">
      <c r="C104" t="s">
        <v>65</v>
      </c>
      <c r="D104">
        <v>25</v>
      </c>
    </row>
    <row r="105" spans="2:13" x14ac:dyDescent="0.25">
      <c r="C105" t="s">
        <v>66</v>
      </c>
      <c r="D105">
        <v>25</v>
      </c>
    </row>
    <row r="106" spans="2:13" x14ac:dyDescent="0.25">
      <c r="C106" t="s">
        <v>67</v>
      </c>
      <c r="D106">
        <v>40</v>
      </c>
    </row>
    <row r="107" spans="2:13" x14ac:dyDescent="0.25">
      <c r="C107" t="s">
        <v>68</v>
      </c>
      <c r="D107">
        <v>75</v>
      </c>
    </row>
    <row r="108" spans="2:13" x14ac:dyDescent="0.25">
      <c r="B108">
        <v>3.3</v>
      </c>
      <c r="C108" t="s">
        <v>69</v>
      </c>
      <c r="D108">
        <v>10</v>
      </c>
    </row>
    <row r="109" spans="2:13" x14ac:dyDescent="0.25">
      <c r="C109" t="s">
        <v>70</v>
      </c>
      <c r="D109">
        <v>25</v>
      </c>
    </row>
    <row r="110" spans="2:13" x14ac:dyDescent="0.25">
      <c r="C110" t="s">
        <v>71</v>
      </c>
      <c r="D110">
        <v>50</v>
      </c>
    </row>
    <row r="114" spans="3:8" x14ac:dyDescent="0.25">
      <c r="C114" s="2" t="s">
        <v>72</v>
      </c>
    </row>
    <row r="115" spans="3:8" x14ac:dyDescent="0.25">
      <c r="D115">
        <f t="shared" ref="D115:D137" si="10">D88*B88</f>
        <v>0</v>
      </c>
      <c r="E115">
        <f t="shared" ref="E115:E137" si="11">E88*B88</f>
        <v>0</v>
      </c>
      <c r="F115">
        <f>F88*$B88</f>
        <v>0</v>
      </c>
      <c r="G115">
        <f>G88*$B88</f>
        <v>0</v>
      </c>
      <c r="H115">
        <f>1-H88*$B88</f>
        <v>1</v>
      </c>
    </row>
    <row r="116" spans="3:8" x14ac:dyDescent="0.25">
      <c r="D116">
        <f t="shared" si="10"/>
        <v>0</v>
      </c>
      <c r="E116">
        <f t="shared" si="11"/>
        <v>0</v>
      </c>
      <c r="F116">
        <f t="shared" ref="F116:G131" si="12">F89*$B89</f>
        <v>0</v>
      </c>
      <c r="G116">
        <f t="shared" si="12"/>
        <v>0</v>
      </c>
      <c r="H116">
        <f t="shared" ref="H116:H137" si="13">1-H89*$B89</f>
        <v>1</v>
      </c>
    </row>
    <row r="117" spans="3:8" x14ac:dyDescent="0.25">
      <c r="D117">
        <f t="shared" si="10"/>
        <v>0</v>
      </c>
      <c r="E117">
        <f t="shared" si="11"/>
        <v>0</v>
      </c>
      <c r="F117">
        <f t="shared" si="12"/>
        <v>0</v>
      </c>
      <c r="G117">
        <f t="shared" si="12"/>
        <v>0</v>
      </c>
      <c r="H117">
        <f t="shared" si="13"/>
        <v>1</v>
      </c>
    </row>
    <row r="118" spans="3:8" x14ac:dyDescent="0.25">
      <c r="D118">
        <f t="shared" si="10"/>
        <v>0</v>
      </c>
      <c r="E118">
        <f t="shared" si="11"/>
        <v>0</v>
      </c>
      <c r="F118">
        <f t="shared" si="12"/>
        <v>0</v>
      </c>
      <c r="G118">
        <f t="shared" si="12"/>
        <v>0</v>
      </c>
      <c r="H118">
        <f t="shared" si="13"/>
        <v>1</v>
      </c>
    </row>
    <row r="119" spans="3:8" x14ac:dyDescent="0.25">
      <c r="D119">
        <f t="shared" si="10"/>
        <v>0</v>
      </c>
      <c r="E119">
        <f t="shared" si="11"/>
        <v>0</v>
      </c>
      <c r="F119">
        <f t="shared" si="12"/>
        <v>0</v>
      </c>
      <c r="G119">
        <f t="shared" si="12"/>
        <v>0</v>
      </c>
      <c r="H119">
        <f t="shared" si="13"/>
        <v>1</v>
      </c>
    </row>
    <row r="120" spans="3:8" x14ac:dyDescent="0.25">
      <c r="D120">
        <f t="shared" si="10"/>
        <v>0</v>
      </c>
      <c r="E120">
        <f t="shared" si="11"/>
        <v>0</v>
      </c>
      <c r="F120">
        <f t="shared" si="12"/>
        <v>0</v>
      </c>
      <c r="G120">
        <f t="shared" si="12"/>
        <v>0</v>
      </c>
      <c r="H120">
        <f t="shared" si="13"/>
        <v>1</v>
      </c>
    </row>
    <row r="121" spans="3:8" x14ac:dyDescent="0.25">
      <c r="D121">
        <f t="shared" si="10"/>
        <v>0</v>
      </c>
      <c r="E121">
        <f t="shared" si="11"/>
        <v>0</v>
      </c>
      <c r="F121">
        <f t="shared" si="12"/>
        <v>0</v>
      </c>
      <c r="G121">
        <f t="shared" si="12"/>
        <v>0</v>
      </c>
      <c r="H121">
        <f t="shared" si="13"/>
        <v>1</v>
      </c>
    </row>
    <row r="122" spans="3:8" x14ac:dyDescent="0.25">
      <c r="D122">
        <f t="shared" si="10"/>
        <v>0</v>
      </c>
      <c r="E122">
        <f t="shared" si="11"/>
        <v>0</v>
      </c>
      <c r="F122">
        <f t="shared" si="12"/>
        <v>0</v>
      </c>
      <c r="G122">
        <f t="shared" si="12"/>
        <v>0</v>
      </c>
      <c r="H122">
        <f t="shared" si="13"/>
        <v>1</v>
      </c>
    </row>
    <row r="123" spans="3:8" x14ac:dyDescent="0.25">
      <c r="D123">
        <f t="shared" si="10"/>
        <v>0</v>
      </c>
      <c r="E123">
        <f t="shared" si="11"/>
        <v>0</v>
      </c>
      <c r="F123">
        <f t="shared" si="12"/>
        <v>0</v>
      </c>
      <c r="G123">
        <f t="shared" si="12"/>
        <v>0</v>
      </c>
      <c r="H123">
        <f t="shared" si="13"/>
        <v>1</v>
      </c>
    </row>
    <row r="124" spans="3:8" x14ac:dyDescent="0.25">
      <c r="D124">
        <f t="shared" si="10"/>
        <v>0</v>
      </c>
      <c r="E124">
        <f t="shared" si="11"/>
        <v>0</v>
      </c>
      <c r="F124">
        <f t="shared" si="12"/>
        <v>0</v>
      </c>
      <c r="G124">
        <f t="shared" si="12"/>
        <v>0</v>
      </c>
      <c r="H124">
        <f t="shared" si="13"/>
        <v>1</v>
      </c>
    </row>
    <row r="125" spans="3:8" x14ac:dyDescent="0.25">
      <c r="D125">
        <f t="shared" si="10"/>
        <v>0</v>
      </c>
      <c r="E125">
        <f t="shared" si="11"/>
        <v>0</v>
      </c>
      <c r="F125">
        <f t="shared" si="12"/>
        <v>0</v>
      </c>
      <c r="G125">
        <f t="shared" si="12"/>
        <v>0</v>
      </c>
      <c r="H125">
        <f t="shared" si="13"/>
        <v>1</v>
      </c>
    </row>
    <row r="126" spans="3:8" x14ac:dyDescent="0.25">
      <c r="D126">
        <f t="shared" si="10"/>
        <v>0</v>
      </c>
      <c r="E126">
        <f t="shared" si="11"/>
        <v>0</v>
      </c>
      <c r="F126">
        <f t="shared" si="12"/>
        <v>0</v>
      </c>
      <c r="G126">
        <f t="shared" si="12"/>
        <v>0</v>
      </c>
      <c r="H126">
        <f t="shared" si="13"/>
        <v>1</v>
      </c>
    </row>
    <row r="127" spans="3:8" x14ac:dyDescent="0.25">
      <c r="D127">
        <f t="shared" si="10"/>
        <v>0</v>
      </c>
      <c r="E127">
        <f t="shared" si="11"/>
        <v>0</v>
      </c>
      <c r="F127">
        <f t="shared" si="12"/>
        <v>0</v>
      </c>
      <c r="G127">
        <f t="shared" si="12"/>
        <v>0</v>
      </c>
      <c r="H127">
        <f t="shared" si="13"/>
        <v>1</v>
      </c>
    </row>
    <row r="128" spans="3:8" x14ac:dyDescent="0.25">
      <c r="D128">
        <f t="shared" si="10"/>
        <v>75</v>
      </c>
      <c r="E128">
        <f t="shared" si="11"/>
        <v>0</v>
      </c>
      <c r="F128">
        <f t="shared" si="12"/>
        <v>0</v>
      </c>
      <c r="G128">
        <f t="shared" si="12"/>
        <v>0</v>
      </c>
      <c r="H128">
        <f t="shared" si="13"/>
        <v>1</v>
      </c>
    </row>
    <row r="129" spans="3:8" x14ac:dyDescent="0.25">
      <c r="D129">
        <f t="shared" si="10"/>
        <v>0</v>
      </c>
      <c r="E129">
        <f t="shared" si="11"/>
        <v>0</v>
      </c>
      <c r="F129">
        <f t="shared" si="12"/>
        <v>0</v>
      </c>
      <c r="G129">
        <f t="shared" si="12"/>
        <v>0</v>
      </c>
      <c r="H129">
        <f t="shared" si="13"/>
        <v>1</v>
      </c>
    </row>
    <row r="130" spans="3:8" x14ac:dyDescent="0.25">
      <c r="D130">
        <f t="shared" si="10"/>
        <v>40</v>
      </c>
      <c r="E130">
        <f t="shared" si="11"/>
        <v>0</v>
      </c>
      <c r="F130">
        <f t="shared" si="12"/>
        <v>0</v>
      </c>
      <c r="G130">
        <f t="shared" si="12"/>
        <v>0</v>
      </c>
      <c r="H130">
        <f t="shared" si="13"/>
        <v>0.7</v>
      </c>
    </row>
    <row r="131" spans="3:8" x14ac:dyDescent="0.25">
      <c r="D131">
        <f t="shared" si="10"/>
        <v>0</v>
      </c>
      <c r="E131">
        <f t="shared" si="11"/>
        <v>0</v>
      </c>
      <c r="F131">
        <f t="shared" si="12"/>
        <v>0</v>
      </c>
      <c r="G131">
        <f t="shared" si="12"/>
        <v>0</v>
      </c>
      <c r="H131">
        <f t="shared" si="13"/>
        <v>1</v>
      </c>
    </row>
    <row r="132" spans="3:8" x14ac:dyDescent="0.25">
      <c r="D132">
        <f t="shared" si="10"/>
        <v>0</v>
      </c>
      <c r="E132">
        <f t="shared" si="11"/>
        <v>0</v>
      </c>
      <c r="F132">
        <f t="shared" ref="F132:G137" si="14">F105*$B105</f>
        <v>0</v>
      </c>
      <c r="G132">
        <f t="shared" si="14"/>
        <v>0</v>
      </c>
      <c r="H132">
        <f t="shared" si="13"/>
        <v>1</v>
      </c>
    </row>
    <row r="133" spans="3:8" x14ac:dyDescent="0.25">
      <c r="D133">
        <f t="shared" si="10"/>
        <v>0</v>
      </c>
      <c r="E133">
        <f t="shared" si="11"/>
        <v>0</v>
      </c>
      <c r="F133">
        <f t="shared" si="14"/>
        <v>0</v>
      </c>
      <c r="G133">
        <f t="shared" si="14"/>
        <v>0</v>
      </c>
      <c r="H133">
        <f t="shared" si="13"/>
        <v>1</v>
      </c>
    </row>
    <row r="134" spans="3:8" x14ac:dyDescent="0.25">
      <c r="D134">
        <f t="shared" si="10"/>
        <v>0</v>
      </c>
      <c r="E134">
        <f t="shared" si="11"/>
        <v>0</v>
      </c>
      <c r="F134">
        <f t="shared" si="14"/>
        <v>0</v>
      </c>
      <c r="G134">
        <f t="shared" si="14"/>
        <v>0</v>
      </c>
      <c r="H134">
        <f t="shared" si="13"/>
        <v>1</v>
      </c>
    </row>
    <row r="135" spans="3:8" x14ac:dyDescent="0.25">
      <c r="D135">
        <f t="shared" si="10"/>
        <v>33</v>
      </c>
      <c r="E135">
        <f t="shared" si="11"/>
        <v>0</v>
      </c>
      <c r="F135">
        <f t="shared" si="14"/>
        <v>0</v>
      </c>
      <c r="G135">
        <f t="shared" si="14"/>
        <v>0</v>
      </c>
      <c r="H135">
        <f t="shared" si="13"/>
        <v>1</v>
      </c>
    </row>
    <row r="136" spans="3:8" x14ac:dyDescent="0.25">
      <c r="D136">
        <f t="shared" si="10"/>
        <v>0</v>
      </c>
      <c r="E136">
        <f t="shared" si="11"/>
        <v>0</v>
      </c>
      <c r="F136">
        <f t="shared" si="14"/>
        <v>0</v>
      </c>
      <c r="G136">
        <f t="shared" si="14"/>
        <v>0</v>
      </c>
      <c r="H136">
        <f t="shared" si="13"/>
        <v>1</v>
      </c>
    </row>
    <row r="137" spans="3:8" x14ac:dyDescent="0.25">
      <c r="D137">
        <f t="shared" si="10"/>
        <v>0</v>
      </c>
      <c r="E137">
        <f t="shared" si="11"/>
        <v>0</v>
      </c>
      <c r="F137">
        <f t="shared" si="14"/>
        <v>0</v>
      </c>
      <c r="G137">
        <f t="shared" si="14"/>
        <v>0</v>
      </c>
      <c r="H137">
        <f t="shared" si="13"/>
        <v>1</v>
      </c>
    </row>
    <row r="138" spans="3:8" x14ac:dyDescent="0.25">
      <c r="C138" s="2" t="s">
        <v>73</v>
      </c>
      <c r="D138">
        <f>SUM(D115:D137)</f>
        <v>148</v>
      </c>
      <c r="E138">
        <f>SUM(E115:E137)</f>
        <v>0</v>
      </c>
      <c r="F138">
        <f>SUM(F115:F137)</f>
        <v>0</v>
      </c>
      <c r="G138">
        <f>SUM(G115:G137)</f>
        <v>0</v>
      </c>
      <c r="H138">
        <f>PRODUCT(H115:H137)</f>
        <v>0.7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AH138"/>
  <sheetViews>
    <sheetView topLeftCell="A37" zoomScaleNormal="100" workbookViewId="0">
      <selection activeCell="V75" sqref="V75"/>
    </sheetView>
  </sheetViews>
  <sheetFormatPr defaultRowHeight="15" x14ac:dyDescent="0.25"/>
  <cols>
    <col min="3" max="3" width="19.5703125" customWidth="1"/>
  </cols>
  <sheetData>
    <row r="3" spans="2:27" x14ac:dyDescent="0.25">
      <c r="B3" t="s">
        <v>365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Q3" t="s">
        <v>236</v>
      </c>
      <c r="R3" t="s">
        <v>4</v>
      </c>
      <c r="U3" t="s">
        <v>5</v>
      </c>
      <c r="X3" t="s">
        <v>134</v>
      </c>
      <c r="Z3" t="s">
        <v>157</v>
      </c>
    </row>
    <row r="4" spans="2:27" x14ac:dyDescent="0.25">
      <c r="B4" t="s">
        <v>6</v>
      </c>
      <c r="C4">
        <v>18</v>
      </c>
      <c r="E4" t="s">
        <v>124</v>
      </c>
      <c r="F4">
        <v>17.000000000000004</v>
      </c>
      <c r="H4" t="s">
        <v>7</v>
      </c>
      <c r="I4">
        <v>572.16</v>
      </c>
      <c r="J4">
        <v>87</v>
      </c>
      <c r="L4" t="s">
        <v>7</v>
      </c>
      <c r="M4">
        <f>I4+J4*$F$4</f>
        <v>2051.1600000000003</v>
      </c>
      <c r="O4" t="s">
        <v>9</v>
      </c>
      <c r="P4">
        <f>J88+M8</f>
        <v>111.02800000000002</v>
      </c>
      <c r="Q4">
        <v>1</v>
      </c>
      <c r="R4" t="s">
        <v>10</v>
      </c>
      <c r="S4">
        <f>Q4*(4+10/18*C4)</f>
        <v>14</v>
      </c>
      <c r="U4" t="s">
        <v>10</v>
      </c>
      <c r="V4">
        <v>0</v>
      </c>
      <c r="X4">
        <v>1000</v>
      </c>
      <c r="Z4" t="s">
        <v>19</v>
      </c>
      <c r="AA4">
        <f>I9</f>
        <v>0.66500000000000004</v>
      </c>
    </row>
    <row r="5" spans="2:27" x14ac:dyDescent="0.25">
      <c r="H5" t="s">
        <v>120</v>
      </c>
      <c r="I5">
        <v>7.96</v>
      </c>
      <c r="J5">
        <v>0.75</v>
      </c>
      <c r="L5" t="s">
        <v>120</v>
      </c>
      <c r="M5">
        <f t="shared" ref="M5:M12" si="0">I5+J5*$F$4</f>
        <v>20.710000000000004</v>
      </c>
      <c r="O5" t="s">
        <v>12</v>
      </c>
      <c r="P5">
        <f>M9+I9*K88</f>
        <v>0.96458250000000012</v>
      </c>
      <c r="R5" t="s">
        <v>13</v>
      </c>
      <c r="S5">
        <v>15.3</v>
      </c>
      <c r="U5" t="s">
        <v>13</v>
      </c>
      <c r="V5">
        <v>0</v>
      </c>
      <c r="Z5" t="s">
        <v>168</v>
      </c>
      <c r="AA5">
        <f>F4*J9</f>
        <v>0.45050000000000007</v>
      </c>
    </row>
    <row r="6" spans="2:27" x14ac:dyDescent="0.25">
      <c r="H6" t="s">
        <v>121</v>
      </c>
      <c r="L6" t="s">
        <v>121</v>
      </c>
      <c r="M6">
        <f t="shared" si="0"/>
        <v>0</v>
      </c>
      <c r="R6" t="s">
        <v>16</v>
      </c>
      <c r="S6">
        <f>J88</f>
        <v>0</v>
      </c>
      <c r="U6" t="s">
        <v>16</v>
      </c>
      <c r="V6">
        <v>0</v>
      </c>
      <c r="Z6" t="s">
        <v>10</v>
      </c>
      <c r="AA6">
        <v>0</v>
      </c>
    </row>
    <row r="7" spans="2:27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L7" t="s">
        <v>122</v>
      </c>
      <c r="M7">
        <f t="shared" si="0"/>
        <v>0</v>
      </c>
      <c r="O7" t="s">
        <v>7</v>
      </c>
      <c r="P7">
        <f>M4+L20</f>
        <v>2051.1600000000003</v>
      </c>
      <c r="R7" s="2"/>
      <c r="Z7" t="s">
        <v>158</v>
      </c>
      <c r="AA7">
        <v>0</v>
      </c>
    </row>
    <row r="8" spans="2:27" x14ac:dyDescent="0.25">
      <c r="B8" t="s">
        <v>25</v>
      </c>
      <c r="C8">
        <v>5</v>
      </c>
      <c r="D8">
        <f>30+30*C8</f>
        <v>180</v>
      </c>
      <c r="E8">
        <f>0.8*S8</f>
        <v>23.44</v>
      </c>
      <c r="F8">
        <f>E8+D8</f>
        <v>203.44</v>
      </c>
      <c r="H8" t="s">
        <v>8</v>
      </c>
      <c r="I8">
        <v>58.328000000000003</v>
      </c>
      <c r="J8">
        <v>3.1</v>
      </c>
      <c r="L8" t="s">
        <v>8</v>
      </c>
      <c r="M8">
        <f t="shared" si="0"/>
        <v>111.02800000000002</v>
      </c>
      <c r="O8" t="s">
        <v>120</v>
      </c>
      <c r="P8">
        <f>(M5+M5*M20+N20+V18*0.01)*(1+0.2*B29)</f>
        <v>44.421748000000008</v>
      </c>
      <c r="R8" t="s">
        <v>26</v>
      </c>
      <c r="S8">
        <f>SUM(S4:S7)</f>
        <v>29.3</v>
      </c>
      <c r="U8" t="s">
        <v>26</v>
      </c>
      <c r="V8">
        <f>SUM(V4:V7)</f>
        <v>0</v>
      </c>
      <c r="Z8" t="s">
        <v>159</v>
      </c>
      <c r="AA8">
        <f>K88</f>
        <v>0</v>
      </c>
    </row>
    <row r="9" spans="2:27" x14ac:dyDescent="0.25">
      <c r="D9">
        <f>1.5+1.5*C8</f>
        <v>9</v>
      </c>
      <c r="E9">
        <f>0.04*S8</f>
        <v>1.1720000000000002</v>
      </c>
      <c r="F9">
        <f>E9+D9</f>
        <v>10.172000000000001</v>
      </c>
      <c r="H9" t="s">
        <v>14</v>
      </c>
      <c r="I9">
        <v>0.66500000000000004</v>
      </c>
      <c r="J9">
        <v>2.6499999999999999E-2</v>
      </c>
      <c r="L9" t="s">
        <v>14</v>
      </c>
      <c r="M9">
        <f>I9+I9*J9*$F$4</f>
        <v>0.96458250000000012</v>
      </c>
      <c r="O9" t="s">
        <v>15</v>
      </c>
      <c r="P9">
        <f>M10+J20</f>
        <v>90.184000000000012</v>
      </c>
    </row>
    <row r="10" spans="2:27" x14ac:dyDescent="0.25">
      <c r="D10">
        <f>4.5+4.5*C8</f>
        <v>27</v>
      </c>
      <c r="E10">
        <f>0.12*S8</f>
        <v>3.516</v>
      </c>
      <c r="F10">
        <f>E10+D10</f>
        <v>30.515999999999998</v>
      </c>
      <c r="H10" t="s">
        <v>15</v>
      </c>
      <c r="I10">
        <v>25.584</v>
      </c>
      <c r="J10">
        <v>3.8</v>
      </c>
      <c r="L10" t="s">
        <v>15</v>
      </c>
      <c r="M10">
        <f t="shared" si="0"/>
        <v>90.184000000000012</v>
      </c>
      <c r="O10" t="s">
        <v>23</v>
      </c>
      <c r="P10">
        <f>M11+K20</f>
        <v>53.350000000000009</v>
      </c>
      <c r="R10" t="s">
        <v>31</v>
      </c>
      <c r="S10">
        <f>P4+S4+S5</f>
        <v>140.32800000000003</v>
      </c>
      <c r="U10" t="s">
        <v>32</v>
      </c>
      <c r="V10">
        <v>0</v>
      </c>
      <c r="Z10" t="s">
        <v>160</v>
      </c>
      <c r="AA10">
        <f>(1+SUM(AA5:AA8))*AA4</f>
        <v>0.96458250000000012</v>
      </c>
    </row>
    <row r="11" spans="2:27" x14ac:dyDescent="0.25">
      <c r="H11" t="s">
        <v>23</v>
      </c>
      <c r="I11">
        <v>32.1</v>
      </c>
      <c r="J11">
        <v>1.25</v>
      </c>
      <c r="L11" t="s">
        <v>23</v>
      </c>
      <c r="M11">
        <f t="shared" si="0"/>
        <v>53.350000000000009</v>
      </c>
      <c r="O11" t="s">
        <v>91</v>
      </c>
    </row>
    <row r="12" spans="2:27" x14ac:dyDescent="0.25">
      <c r="B12" t="s">
        <v>29</v>
      </c>
      <c r="C12">
        <v>5</v>
      </c>
      <c r="D12">
        <f>-10+20*C12</f>
        <v>90</v>
      </c>
      <c r="E12">
        <f>1.5*S10</f>
        <v>210.49200000000005</v>
      </c>
      <c r="F12">
        <f>E12+D12</f>
        <v>300.49200000000008</v>
      </c>
      <c r="H12" t="s">
        <v>123</v>
      </c>
      <c r="I12">
        <v>345</v>
      </c>
      <c r="L12" t="s">
        <v>123</v>
      </c>
      <c r="M12">
        <f t="shared" si="0"/>
        <v>345</v>
      </c>
      <c r="O12" t="s">
        <v>277</v>
      </c>
      <c r="P12">
        <v>0</v>
      </c>
      <c r="R12" t="s">
        <v>86</v>
      </c>
      <c r="U12" t="s">
        <v>88</v>
      </c>
      <c r="X12" t="s">
        <v>95</v>
      </c>
    </row>
    <row r="13" spans="2:27" x14ac:dyDescent="0.25">
      <c r="O13" t="s">
        <v>92</v>
      </c>
      <c r="P13">
        <v>0</v>
      </c>
      <c r="R13" t="s">
        <v>2</v>
      </c>
      <c r="S13">
        <f>M10</f>
        <v>90.184000000000012</v>
      </c>
      <c r="U13" t="s">
        <v>2</v>
      </c>
      <c r="V13">
        <f>M4</f>
        <v>2051.1600000000003</v>
      </c>
      <c r="X13" t="s">
        <v>2</v>
      </c>
      <c r="Y13">
        <f>M11</f>
        <v>53.350000000000009</v>
      </c>
    </row>
    <row r="14" spans="2:27" x14ac:dyDescent="0.25">
      <c r="B14" t="s">
        <v>33</v>
      </c>
      <c r="C14">
        <v>5</v>
      </c>
      <c r="D14">
        <f>30*C14</f>
        <v>150</v>
      </c>
      <c r="E14">
        <f>0.9*S8</f>
        <v>26.37</v>
      </c>
      <c r="F14">
        <f>E14+D14</f>
        <v>176.37</v>
      </c>
      <c r="O14" t="s">
        <v>93</v>
      </c>
      <c r="P14">
        <v>1</v>
      </c>
      <c r="R14" t="s">
        <v>10</v>
      </c>
      <c r="S14">
        <f>P12+2*P15</f>
        <v>0</v>
      </c>
      <c r="U14" t="s">
        <v>16</v>
      </c>
      <c r="V14">
        <f>L20</f>
        <v>0</v>
      </c>
      <c r="X14" t="s">
        <v>10</v>
      </c>
      <c r="Y14">
        <v>5</v>
      </c>
    </row>
    <row r="15" spans="2:27" x14ac:dyDescent="0.25">
      <c r="O15" t="s">
        <v>94</v>
      </c>
      <c r="P15">
        <v>0</v>
      </c>
      <c r="R15" t="s">
        <v>13</v>
      </c>
      <c r="S15">
        <f>P16+3*P17/18*C4</f>
        <v>9</v>
      </c>
      <c r="U15" t="s">
        <v>158</v>
      </c>
      <c r="V15">
        <f>(24*P18/18*C4)</f>
        <v>216</v>
      </c>
      <c r="X15" t="s">
        <v>13</v>
      </c>
      <c r="Y15">
        <v>12</v>
      </c>
    </row>
    <row r="16" spans="2:27" x14ac:dyDescent="0.25">
      <c r="B16" t="s">
        <v>34</v>
      </c>
      <c r="C16">
        <v>3</v>
      </c>
      <c r="D16">
        <f>175*C16</f>
        <v>525</v>
      </c>
      <c r="E16">
        <f>(1/(4-0.5*C16))*E17</f>
        <v>1000</v>
      </c>
      <c r="F16">
        <f>E16+D16</f>
        <v>1525</v>
      </c>
      <c r="G16" t="s">
        <v>0</v>
      </c>
      <c r="N16" t="s">
        <v>158</v>
      </c>
      <c r="O16" t="s">
        <v>216</v>
      </c>
      <c r="P16">
        <v>9</v>
      </c>
      <c r="R16" t="s">
        <v>16</v>
      </c>
      <c r="S16">
        <f>J20</f>
        <v>0</v>
      </c>
      <c r="U16" t="s">
        <v>10</v>
      </c>
      <c r="V16">
        <f>36+0.03*(V13+V14+V15)*P14</f>
        <v>104.01480000000001</v>
      </c>
      <c r="X16" t="s">
        <v>16</v>
      </c>
      <c r="Y16">
        <f>K20</f>
        <v>0</v>
      </c>
    </row>
    <row r="17" spans="1:34" x14ac:dyDescent="0.25">
      <c r="D17" t="s">
        <v>296</v>
      </c>
      <c r="E17">
        <v>2500</v>
      </c>
      <c r="O17" t="s">
        <v>217</v>
      </c>
      <c r="P17">
        <v>0</v>
      </c>
      <c r="R17" s="2"/>
      <c r="S17" s="2"/>
      <c r="X17" s="2"/>
    </row>
    <row r="18" spans="1:34" x14ac:dyDescent="0.25">
      <c r="J18" s="2" t="s">
        <v>40</v>
      </c>
      <c r="O18" t="s">
        <v>357</v>
      </c>
      <c r="P18">
        <v>9</v>
      </c>
      <c r="R18" t="s">
        <v>10</v>
      </c>
      <c r="S18">
        <f>P13*0.025*SUM(S14:S17)</f>
        <v>0</v>
      </c>
      <c r="U18" t="s">
        <v>89</v>
      </c>
      <c r="V18">
        <f>SUM(V13:V16)</f>
        <v>2371.1748000000002</v>
      </c>
      <c r="X18" t="s">
        <v>10</v>
      </c>
      <c r="Y18">
        <f>P13*0.025*SUM(Y14:Y17)</f>
        <v>0</v>
      </c>
    </row>
    <row r="19" spans="1:34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  <c r="R19" s="2"/>
      <c r="S19" s="2"/>
      <c r="X19" s="2"/>
      <c r="Y19" s="2"/>
    </row>
    <row r="20" spans="1:34" x14ac:dyDescent="0.25">
      <c r="C20" t="s">
        <v>74</v>
      </c>
      <c r="F20">
        <v>1000</v>
      </c>
      <c r="J20">
        <f>D83</f>
        <v>0</v>
      </c>
      <c r="K20">
        <f>E83</f>
        <v>0</v>
      </c>
      <c r="L20">
        <f>F83*(1+0.25*B37)</f>
        <v>0</v>
      </c>
      <c r="M20">
        <f>G83</f>
        <v>0</v>
      </c>
      <c r="N20">
        <f>H83</f>
        <v>0</v>
      </c>
      <c r="R20" t="s">
        <v>90</v>
      </c>
      <c r="S20">
        <f>SUM(S13:S19)</f>
        <v>99.184000000000012</v>
      </c>
      <c r="X20" t="s">
        <v>96</v>
      </c>
      <c r="Y20">
        <f>SUM(Y13:Y19)</f>
        <v>70.350000000000009</v>
      </c>
      <c r="AD20" t="s">
        <v>301</v>
      </c>
    </row>
    <row r="21" spans="1:34" x14ac:dyDescent="0.25">
      <c r="C21" t="s">
        <v>117</v>
      </c>
      <c r="F21">
        <v>800</v>
      </c>
      <c r="H21">
        <f>V18*0.03</f>
        <v>71.135244</v>
      </c>
    </row>
    <row r="22" spans="1:34" x14ac:dyDescent="0.25">
      <c r="C22" t="s">
        <v>75</v>
      </c>
      <c r="F22">
        <v>700</v>
      </c>
      <c r="R22" t="s">
        <v>98</v>
      </c>
      <c r="S22" t="s">
        <v>99</v>
      </c>
      <c r="U22" t="s">
        <v>100</v>
      </c>
      <c r="V22" t="s">
        <v>101</v>
      </c>
      <c r="W22">
        <v>4.1900000000000004</v>
      </c>
      <c r="X22">
        <v>5.3</v>
      </c>
      <c r="Y22" t="s">
        <v>118</v>
      </c>
      <c r="AB22" t="s">
        <v>298</v>
      </c>
      <c r="AD22" t="s">
        <v>299</v>
      </c>
      <c r="AF22" t="s">
        <v>300</v>
      </c>
      <c r="AH22" t="s">
        <v>302</v>
      </c>
    </row>
    <row r="23" spans="1:34" x14ac:dyDescent="0.25">
      <c r="C23" t="s">
        <v>80</v>
      </c>
      <c r="F23">
        <v>650</v>
      </c>
      <c r="P23" s="2" t="s">
        <v>97</v>
      </c>
      <c r="R23">
        <v>0</v>
      </c>
      <c r="S23">
        <v>0.06</v>
      </c>
      <c r="U23">
        <f>$S$20*(1-S23)-R23</f>
        <v>93.232960000000006</v>
      </c>
      <c r="V23">
        <f>$V$18*(100+U23)/100</f>
        <v>4581.89125281408</v>
      </c>
      <c r="W23">
        <v>20715.592674699998</v>
      </c>
      <c r="X23">
        <v>16960</v>
      </c>
      <c r="Y23">
        <f>($V$18+$B$30*(50+10*$C$4))*(100+U23)/100</f>
        <v>4581.89125281408</v>
      </c>
      <c r="Z23">
        <f>Y23/W23</f>
        <v>0.22118079481307598</v>
      </c>
      <c r="AB23">
        <f>Y23/0.7</f>
        <v>6545.5589325915435</v>
      </c>
      <c r="AD23">
        <f>0.7*U23-30</f>
        <v>35.263071999999994</v>
      </c>
      <c r="AF23">
        <f>100/70*(100+U23)-100</f>
        <v>176.04708571428569</v>
      </c>
      <c r="AH23">
        <f>AF23-U23</f>
        <v>82.81412571428568</v>
      </c>
    </row>
    <row r="24" spans="1:34" x14ac:dyDescent="0.25">
      <c r="A24">
        <v>1</v>
      </c>
      <c r="C24" t="s">
        <v>76</v>
      </c>
      <c r="D24">
        <v>70</v>
      </c>
      <c r="F24">
        <v>500</v>
      </c>
      <c r="J24" s="2"/>
      <c r="K24" s="2" t="s">
        <v>42</v>
      </c>
      <c r="R24">
        <v>0</v>
      </c>
      <c r="S24">
        <v>0.38900000000000001</v>
      </c>
      <c r="U24">
        <f>$S$20*(1-S24)-R24</f>
        <v>60.601424000000009</v>
      </c>
      <c r="V24">
        <f>$V$18*(100+U24)/100</f>
        <v>3808.1404943291527</v>
      </c>
      <c r="Y24">
        <f>($V$18+$B$30*(50+10*$C$4))*(100+U24)/100</f>
        <v>3808.1404943291527</v>
      </c>
      <c r="AB24">
        <f>Y24/0.7</f>
        <v>5440.2007061845043</v>
      </c>
      <c r="AD24">
        <f>0.7*U24-30</f>
        <v>12.420996800000005</v>
      </c>
      <c r="AF24">
        <f>100/70*(100+U24)-100</f>
        <v>129.43060571428572</v>
      </c>
      <c r="AH24">
        <f>AF24-U24</f>
        <v>68.82918171428571</v>
      </c>
    </row>
    <row r="25" spans="1:34" x14ac:dyDescent="0.25">
      <c r="C25" t="s">
        <v>83</v>
      </c>
      <c r="F25">
        <v>500</v>
      </c>
      <c r="G25">
        <v>1</v>
      </c>
      <c r="K25" t="s">
        <v>346</v>
      </c>
      <c r="M25">
        <f>K95</f>
        <v>140.32800000000003</v>
      </c>
      <c r="R25">
        <v>20</v>
      </c>
      <c r="S25">
        <v>0.06</v>
      </c>
      <c r="U25">
        <f>$S$20*(1-S25)-R25</f>
        <v>73.232960000000006</v>
      </c>
      <c r="V25">
        <f>$V$18*(100+U25)/100</f>
        <v>4107.6562928140802</v>
      </c>
      <c r="Y25">
        <f>($V$18+$B$30*(50+10*$C$4))*(100+U25)/100</f>
        <v>4107.6562928140802</v>
      </c>
      <c r="AB25">
        <f>Y25/0.7</f>
        <v>5868.080418305829</v>
      </c>
      <c r="AD25">
        <f>0.7*U25-30</f>
        <v>21.263072000000001</v>
      </c>
      <c r="AF25">
        <f>100/70*(100+U25)-100</f>
        <v>147.47565714285713</v>
      </c>
      <c r="AH25">
        <f>AF25-U25</f>
        <v>74.242697142857125</v>
      </c>
    </row>
    <row r="26" spans="1:34" x14ac:dyDescent="0.25">
      <c r="C26" t="s">
        <v>229</v>
      </c>
      <c r="F26">
        <v>500</v>
      </c>
      <c r="K26" t="s">
        <v>25</v>
      </c>
      <c r="M26">
        <f>F8</f>
        <v>203.44</v>
      </c>
      <c r="R26">
        <v>20</v>
      </c>
      <c r="S26">
        <v>0.38900000000000001</v>
      </c>
      <c r="U26">
        <f>$S$20*(1-S26)-R26</f>
        <v>40.601424000000009</v>
      </c>
      <c r="V26">
        <f>$V$18*(100+U26)/100</f>
        <v>3333.9055343291525</v>
      </c>
      <c r="Y26">
        <f>($V$18+$B$30*(50+10*$C$4))*(100+U26)/100</f>
        <v>3333.9055343291525</v>
      </c>
      <c r="AB26">
        <f>Y26/0.7</f>
        <v>4762.7221918987898</v>
      </c>
      <c r="AD26">
        <f>0.7*U26-30</f>
        <v>-1.5790031999999954</v>
      </c>
      <c r="AF26">
        <f>100/70*(100+U26)-100</f>
        <v>100.85917714285716</v>
      </c>
      <c r="AH26">
        <f>AF26-U26</f>
        <v>60.257753142857155</v>
      </c>
    </row>
    <row r="27" spans="1:34" x14ac:dyDescent="0.25">
      <c r="A27">
        <v>1</v>
      </c>
      <c r="C27" t="s">
        <v>77</v>
      </c>
      <c r="D27">
        <v>45</v>
      </c>
      <c r="F27">
        <v>450</v>
      </c>
      <c r="K27" t="s">
        <v>33</v>
      </c>
      <c r="M27">
        <f>F14</f>
        <v>176.37</v>
      </c>
      <c r="R27">
        <v>10</v>
      </c>
      <c r="S27">
        <f>1-(1*0.94*0.65*0.75)</f>
        <v>0.54174999999999995</v>
      </c>
      <c r="U27">
        <f>$S$20*(1-S27)-R27</f>
        <v>35.451068000000006</v>
      </c>
      <c r="V27">
        <f>$V$18*(100+U27)/100</f>
        <v>3211.7815907468648</v>
      </c>
      <c r="W27">
        <v>12376.585678916252</v>
      </c>
      <c r="Y27">
        <f>($V$18+$B$30*(50+10*$C$4))*(100+U27)/100</f>
        <v>3211.7815907468648</v>
      </c>
      <c r="Z27">
        <f>Y27/W27</f>
        <v>0.25950465452020388</v>
      </c>
      <c r="AB27">
        <f>Y27/0.7</f>
        <v>4588.2594153526643</v>
      </c>
      <c r="AD27">
        <f>0.7*U27-30</f>
        <v>-5.1842523999999983</v>
      </c>
      <c r="AF27">
        <f>100/70*(100+U27)-100</f>
        <v>93.501525714285748</v>
      </c>
      <c r="AH27">
        <f>AF27-U27</f>
        <v>58.050457714285741</v>
      </c>
    </row>
    <row r="28" spans="1:34" x14ac:dyDescent="0.25">
      <c r="A28">
        <v>1</v>
      </c>
      <c r="C28" t="s">
        <v>78</v>
      </c>
      <c r="E28">
        <v>55</v>
      </c>
      <c r="F28">
        <v>450</v>
      </c>
      <c r="G28">
        <v>1</v>
      </c>
      <c r="K28" s="3" t="s">
        <v>323</v>
      </c>
      <c r="M28">
        <f>2*M8*B99</f>
        <v>0</v>
      </c>
    </row>
    <row r="29" spans="1:34" x14ac:dyDescent="0.25">
      <c r="A29">
        <v>1</v>
      </c>
      <c r="C29" t="s">
        <v>79</v>
      </c>
      <c r="E29">
        <v>55</v>
      </c>
      <c r="F29">
        <v>400</v>
      </c>
      <c r="G29">
        <v>1</v>
      </c>
      <c r="K29" s="3" t="s">
        <v>356</v>
      </c>
      <c r="M29">
        <f>K95*B107</f>
        <v>0</v>
      </c>
    </row>
    <row r="30" spans="1:34" x14ac:dyDescent="0.25">
      <c r="A30">
        <v>1</v>
      </c>
      <c r="C30" t="s">
        <v>81</v>
      </c>
      <c r="E30">
        <v>40</v>
      </c>
      <c r="F30">
        <v>400</v>
      </c>
      <c r="G30">
        <v>0.75</v>
      </c>
      <c r="K30" t="s">
        <v>347</v>
      </c>
      <c r="M30">
        <f>2*M25+M26+M27</f>
        <v>660.46600000000012</v>
      </c>
    </row>
    <row r="31" spans="1:34" x14ac:dyDescent="0.25">
      <c r="C31" t="s">
        <v>82</v>
      </c>
      <c r="F31">
        <v>400</v>
      </c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  <c r="X31">
        <v>5.3</v>
      </c>
      <c r="AD31" t="s">
        <v>299</v>
      </c>
      <c r="AF31" t="s">
        <v>300</v>
      </c>
      <c r="AH31" t="s">
        <v>302</v>
      </c>
    </row>
    <row r="32" spans="1:34" x14ac:dyDescent="0.25">
      <c r="C32" t="s">
        <v>84</v>
      </c>
      <c r="F32">
        <v>380</v>
      </c>
      <c r="K32" s="2" t="s">
        <v>348</v>
      </c>
      <c r="M32">
        <v>1</v>
      </c>
      <c r="R32">
        <v>0</v>
      </c>
      <c r="S32">
        <v>0.06</v>
      </c>
      <c r="U32">
        <f t="shared" ref="U32:U37" si="1">$Y$20*(1-S32)-R32</f>
        <v>66.129000000000005</v>
      </c>
      <c r="V32">
        <f t="shared" ref="V32:V37" si="2">$V$18*(100+U32)/100</f>
        <v>3939.2089834920007</v>
      </c>
      <c r="W32">
        <v>11332.5147474</v>
      </c>
      <c r="X32">
        <v>14352</v>
      </c>
      <c r="Y32">
        <f t="shared" ref="Y32:Y37" si="3">($V$18+$B$30*(50+10*$C$4))*(100+U32)/100</f>
        <v>3939.2089834920007</v>
      </c>
      <c r="Z32">
        <f>Y32/W32</f>
        <v>0.34760236993256655</v>
      </c>
      <c r="AB32">
        <f t="shared" ref="AB32:AB37" si="4">Y32/0.7</f>
        <v>5627.4414049885727</v>
      </c>
      <c r="AD32">
        <f t="shared" ref="AD32:AD37" si="5">0.7*U32-30</f>
        <v>16.290300000000002</v>
      </c>
      <c r="AF32">
        <f t="shared" ref="AF32:AF37" si="6">100/70*(100+U32)-100</f>
        <v>137.32714285714289</v>
      </c>
      <c r="AH32">
        <f t="shared" ref="AH32:AH37" si="7">AF32-U32</f>
        <v>71.198142857142884</v>
      </c>
    </row>
    <row r="33" spans="1:34" x14ac:dyDescent="0.25">
      <c r="C33" t="s">
        <v>278</v>
      </c>
      <c r="D33">
        <v>50</v>
      </c>
      <c r="F33">
        <v>300</v>
      </c>
      <c r="G33">
        <v>1</v>
      </c>
      <c r="K33" t="s">
        <v>349</v>
      </c>
      <c r="M33">
        <v>0.06</v>
      </c>
      <c r="R33">
        <v>0</v>
      </c>
      <c r="S33">
        <v>0.38900000000000001</v>
      </c>
      <c r="U33">
        <f t="shared" si="1"/>
        <v>42.983850000000004</v>
      </c>
      <c r="V33">
        <f t="shared" si="2"/>
        <v>3390.3970192698007</v>
      </c>
      <c r="Y33">
        <f t="shared" si="3"/>
        <v>3390.3970192698007</v>
      </c>
      <c r="AB33">
        <f t="shared" si="4"/>
        <v>4843.4243132425727</v>
      </c>
      <c r="AD33">
        <f t="shared" si="5"/>
        <v>8.8695000000001301E-2</v>
      </c>
      <c r="AF33">
        <f t="shared" si="6"/>
        <v>104.26264285714288</v>
      </c>
      <c r="AH33">
        <f t="shared" si="7"/>
        <v>61.278792857142875</v>
      </c>
    </row>
    <row r="34" spans="1:34" x14ac:dyDescent="0.25">
      <c r="C34" t="s">
        <v>59</v>
      </c>
      <c r="F34">
        <v>250</v>
      </c>
      <c r="K34" t="s">
        <v>350</v>
      </c>
      <c r="M34">
        <f>0.25*B103</f>
        <v>0</v>
      </c>
      <c r="R34">
        <v>15</v>
      </c>
      <c r="S34">
        <v>0.06</v>
      </c>
      <c r="U34">
        <f t="shared" si="1"/>
        <v>51.129000000000005</v>
      </c>
      <c r="V34">
        <f t="shared" si="2"/>
        <v>3583.5327634920004</v>
      </c>
      <c r="Y34">
        <f t="shared" si="3"/>
        <v>3583.5327634920004</v>
      </c>
      <c r="AB34">
        <f t="shared" si="4"/>
        <v>5119.3325192742868</v>
      </c>
      <c r="AD34">
        <f t="shared" si="5"/>
        <v>5.790300000000002</v>
      </c>
      <c r="AF34">
        <f t="shared" si="6"/>
        <v>115.89857142857147</v>
      </c>
      <c r="AH34">
        <f t="shared" si="7"/>
        <v>64.769571428571467</v>
      </c>
    </row>
    <row r="35" spans="1:34" x14ac:dyDescent="0.25">
      <c r="C35" t="s">
        <v>240</v>
      </c>
      <c r="E35">
        <v>40</v>
      </c>
      <c r="F35">
        <v>200</v>
      </c>
      <c r="K35" t="s">
        <v>351</v>
      </c>
      <c r="M35">
        <f>0.35*B91</f>
        <v>0</v>
      </c>
      <c r="R35">
        <v>15</v>
      </c>
      <c r="S35">
        <v>0.38900000000000001</v>
      </c>
      <c r="U35">
        <f t="shared" si="1"/>
        <v>27.983850000000004</v>
      </c>
      <c r="V35">
        <f t="shared" si="2"/>
        <v>3034.7207992698004</v>
      </c>
      <c r="Y35">
        <f t="shared" si="3"/>
        <v>3034.7207992698004</v>
      </c>
      <c r="AB35">
        <f t="shared" si="4"/>
        <v>4335.3154275282868</v>
      </c>
      <c r="AD35">
        <f t="shared" si="5"/>
        <v>-10.411304999999999</v>
      </c>
      <c r="AF35">
        <f t="shared" si="6"/>
        <v>82.834071428571434</v>
      </c>
      <c r="AH35">
        <f t="shared" si="7"/>
        <v>54.85022142857143</v>
      </c>
    </row>
    <row r="36" spans="1:34" x14ac:dyDescent="0.25">
      <c r="C36" t="s">
        <v>107</v>
      </c>
      <c r="F36">
        <v>150</v>
      </c>
      <c r="K36" t="s">
        <v>352</v>
      </c>
      <c r="M36">
        <f>(1-M33)*(1-M34)*(1-M35)</f>
        <v>0.94</v>
      </c>
      <c r="R36">
        <v>30</v>
      </c>
      <c r="S36">
        <v>0.06</v>
      </c>
      <c r="U36">
        <f t="shared" si="1"/>
        <v>36.129000000000005</v>
      </c>
      <c r="V36">
        <f t="shared" si="2"/>
        <v>3227.8565434920006</v>
      </c>
      <c r="Y36">
        <f t="shared" si="3"/>
        <v>3227.8565434920006</v>
      </c>
      <c r="AB36">
        <f t="shared" si="4"/>
        <v>4611.223633560001</v>
      </c>
      <c r="AD36">
        <f t="shared" si="5"/>
        <v>-4.709699999999998</v>
      </c>
      <c r="AF36">
        <f t="shared" si="6"/>
        <v>94.470000000000027</v>
      </c>
      <c r="AH36">
        <f t="shared" si="7"/>
        <v>58.341000000000022</v>
      </c>
    </row>
    <row r="37" spans="1:34" x14ac:dyDescent="0.25">
      <c r="C37" t="s">
        <v>85</v>
      </c>
      <c r="F37">
        <v>300</v>
      </c>
      <c r="I37">
        <f>(V14+V16+V15)*0.25</f>
        <v>80.003700000000009</v>
      </c>
      <c r="K37" t="s">
        <v>354</v>
      </c>
      <c r="M37">
        <v>19.2</v>
      </c>
      <c r="R37">
        <v>30</v>
      </c>
      <c r="S37">
        <v>0.38900000000000001</v>
      </c>
      <c r="U37">
        <f t="shared" si="1"/>
        <v>12.983850000000004</v>
      </c>
      <c r="V37">
        <f t="shared" si="2"/>
        <v>2679.0445792698006</v>
      </c>
      <c r="W37">
        <v>7642.2235858100003</v>
      </c>
      <c r="Y37">
        <f t="shared" si="3"/>
        <v>2679.0445792698006</v>
      </c>
      <c r="Z37">
        <f>Y37/W37</f>
        <v>0.35055825692462361</v>
      </c>
      <c r="AB37">
        <f t="shared" si="4"/>
        <v>3827.206541814001</v>
      </c>
      <c r="AD37">
        <f t="shared" si="5"/>
        <v>-20.911304999999999</v>
      </c>
      <c r="AF37">
        <f t="shared" si="6"/>
        <v>61.405500000000018</v>
      </c>
      <c r="AH37">
        <f t="shared" si="7"/>
        <v>48.421650000000014</v>
      </c>
    </row>
    <row r="38" spans="1:34" x14ac:dyDescent="0.25">
      <c r="C38" t="s">
        <v>115</v>
      </c>
      <c r="F38">
        <v>80</v>
      </c>
      <c r="H38">
        <v>6</v>
      </c>
      <c r="K38" t="s">
        <v>355</v>
      </c>
      <c r="M38">
        <f>10*B103+20*B97+10*B102</f>
        <v>0</v>
      </c>
    </row>
    <row r="39" spans="1:34" x14ac:dyDescent="0.25">
      <c r="C39" t="s">
        <v>106</v>
      </c>
      <c r="D39">
        <v>100</v>
      </c>
      <c r="K39" s="2" t="s">
        <v>353</v>
      </c>
      <c r="M39">
        <f>M30*100/(100+M44*M36-IF(M44*M36&gt;M37,M37,M44*M36))</f>
        <v>182.04685777287762</v>
      </c>
      <c r="X39">
        <v>15700</v>
      </c>
      <c r="AA39" t="s">
        <v>285</v>
      </c>
    </row>
    <row r="40" spans="1:34" x14ac:dyDescent="0.25">
      <c r="C40" t="s">
        <v>105</v>
      </c>
      <c r="D40">
        <v>100</v>
      </c>
      <c r="X40">
        <v>14750</v>
      </c>
    </row>
    <row r="41" spans="1:34" x14ac:dyDescent="0.25">
      <c r="C41" t="s">
        <v>113</v>
      </c>
      <c r="D41">
        <v>50</v>
      </c>
      <c r="L41" t="s">
        <v>220</v>
      </c>
      <c r="M41">
        <v>2000</v>
      </c>
      <c r="Q41" t="s">
        <v>226</v>
      </c>
      <c r="R41">
        <v>10</v>
      </c>
    </row>
    <row r="42" spans="1:34" x14ac:dyDescent="0.25">
      <c r="C42" t="s">
        <v>297</v>
      </c>
      <c r="D42">
        <v>40</v>
      </c>
      <c r="G42">
        <v>1</v>
      </c>
      <c r="L42" t="s">
        <v>221</v>
      </c>
      <c r="M42">
        <v>2200</v>
      </c>
      <c r="Q42" t="s">
        <v>227</v>
      </c>
      <c r="R42">
        <f>5+1.67/18*B2*9</f>
        <v>5</v>
      </c>
    </row>
    <row r="43" spans="1:34" x14ac:dyDescent="0.25">
      <c r="C43" t="s">
        <v>108</v>
      </c>
      <c r="D43">
        <v>40</v>
      </c>
      <c r="L43" t="s">
        <v>89</v>
      </c>
      <c r="M43">
        <v>4400</v>
      </c>
      <c r="Q43" t="s">
        <v>228</v>
      </c>
      <c r="R43">
        <v>40</v>
      </c>
    </row>
    <row r="44" spans="1:34" x14ac:dyDescent="0.25">
      <c r="A44">
        <v>1</v>
      </c>
      <c r="C44" t="s">
        <v>109</v>
      </c>
      <c r="D44">
        <v>25</v>
      </c>
      <c r="L44" t="s">
        <v>277</v>
      </c>
      <c r="M44">
        <v>300</v>
      </c>
    </row>
    <row r="45" spans="1:34" x14ac:dyDescent="0.25">
      <c r="C45" t="s">
        <v>114</v>
      </c>
      <c r="D45">
        <v>15</v>
      </c>
    </row>
    <row r="46" spans="1:34" x14ac:dyDescent="0.25">
      <c r="C46" t="s">
        <v>116</v>
      </c>
      <c r="E46">
        <v>50</v>
      </c>
      <c r="M46" t="s">
        <v>218</v>
      </c>
      <c r="N46" t="s">
        <v>268</v>
      </c>
      <c r="O46" t="s">
        <v>269</v>
      </c>
      <c r="T46" s="2" t="s">
        <v>309</v>
      </c>
    </row>
    <row r="47" spans="1:34" x14ac:dyDescent="0.25">
      <c r="C47" t="s">
        <v>127</v>
      </c>
      <c r="E47">
        <f>3/18*6*C4</f>
        <v>18</v>
      </c>
      <c r="L47" t="s">
        <v>25</v>
      </c>
      <c r="M47">
        <f>F8</f>
        <v>203.44</v>
      </c>
      <c r="N47">
        <v>8</v>
      </c>
      <c r="O47">
        <f>(1-0.01*$R$43)*N47</f>
        <v>4.8</v>
      </c>
      <c r="T47" s="3" t="s">
        <v>305</v>
      </c>
      <c r="U47" s="3"/>
      <c r="V47" s="3">
        <v>5000</v>
      </c>
      <c r="X47" t="s">
        <v>307</v>
      </c>
      <c r="Z47">
        <f>V49*175</f>
        <v>525</v>
      </c>
    </row>
    <row r="48" spans="1:34" x14ac:dyDescent="0.25">
      <c r="C48" t="s">
        <v>119</v>
      </c>
      <c r="D48">
        <v>2</v>
      </c>
      <c r="E48">
        <v>0.9</v>
      </c>
      <c r="F48">
        <v>129</v>
      </c>
      <c r="T48" s="3" t="s">
        <v>304</v>
      </c>
      <c r="U48" s="3"/>
      <c r="V48" s="3">
        <v>120</v>
      </c>
      <c r="X48" t="s">
        <v>308</v>
      </c>
      <c r="Z48">
        <f>1/(4-0.5*V49)</f>
        <v>0.4</v>
      </c>
    </row>
    <row r="49" spans="3:22" x14ac:dyDescent="0.25">
      <c r="C49" t="s">
        <v>110</v>
      </c>
      <c r="E49">
        <v>25</v>
      </c>
      <c r="T49" s="3" t="s">
        <v>306</v>
      </c>
      <c r="U49" s="3"/>
      <c r="V49" s="3">
        <v>3</v>
      </c>
    </row>
    <row r="50" spans="3:22" x14ac:dyDescent="0.25">
      <c r="L50" t="s">
        <v>29</v>
      </c>
      <c r="M50">
        <f>F12</f>
        <v>300.49200000000008</v>
      </c>
      <c r="N50">
        <f>14-C12</f>
        <v>9</v>
      </c>
      <c r="O50">
        <f>(1-0.01*$R$43)*N50</f>
        <v>5.3999999999999995</v>
      </c>
    </row>
    <row r="51" spans="3:22" x14ac:dyDescent="0.25">
      <c r="T51" s="2" t="s">
        <v>303</v>
      </c>
      <c r="U51" s="2"/>
      <c r="V51" s="2">
        <f>(Z47/V47+Z48)/((100+V48)/100+Z48)</f>
        <v>0.19423076923076923</v>
      </c>
    </row>
    <row r="52" spans="3:22" x14ac:dyDescent="0.25">
      <c r="C52" s="2" t="s">
        <v>72</v>
      </c>
    </row>
    <row r="53" spans="3:22" x14ac:dyDescent="0.25">
      <c r="D53">
        <f>D20*$B20</f>
        <v>0</v>
      </c>
      <c r="E53">
        <f>E20*$B20</f>
        <v>0</v>
      </c>
      <c r="F53">
        <f>F20*$B20</f>
        <v>0</v>
      </c>
      <c r="G53">
        <f>G20*$B20</f>
        <v>0</v>
      </c>
      <c r="H53">
        <f>H20*$B20</f>
        <v>0</v>
      </c>
      <c r="L53" t="s">
        <v>33</v>
      </c>
      <c r="M53">
        <f>F14</f>
        <v>176.37</v>
      </c>
      <c r="N53">
        <f>19-C14</f>
        <v>14</v>
      </c>
      <c r="O53">
        <f>(1-0.01*$R$43)*N53</f>
        <v>8.4</v>
      </c>
    </row>
    <row r="54" spans="3:22" x14ac:dyDescent="0.25">
      <c r="D54">
        <f t="shared" ref="D54:H69" si="8">D21*$B21</f>
        <v>0</v>
      </c>
      <c r="E54">
        <f t="shared" si="8"/>
        <v>0</v>
      </c>
      <c r="F54">
        <f t="shared" si="8"/>
        <v>0</v>
      </c>
      <c r="G54">
        <f t="shared" si="8"/>
        <v>0</v>
      </c>
      <c r="H54">
        <f t="shared" si="8"/>
        <v>0</v>
      </c>
    </row>
    <row r="55" spans="3:22" x14ac:dyDescent="0.25">
      <c r="D55">
        <f t="shared" si="8"/>
        <v>0</v>
      </c>
      <c r="E55">
        <f t="shared" si="8"/>
        <v>0</v>
      </c>
      <c r="F55">
        <f t="shared" si="8"/>
        <v>0</v>
      </c>
      <c r="G55">
        <f t="shared" si="8"/>
        <v>0</v>
      </c>
      <c r="H55">
        <f t="shared" si="8"/>
        <v>0</v>
      </c>
      <c r="M55" t="s">
        <v>287</v>
      </c>
      <c r="N55" t="s">
        <v>367</v>
      </c>
    </row>
    <row r="56" spans="3:22" x14ac:dyDescent="0.25">
      <c r="D56">
        <f t="shared" si="8"/>
        <v>0</v>
      </c>
      <c r="E56">
        <f t="shared" si="8"/>
        <v>0</v>
      </c>
      <c r="F56">
        <f t="shared" si="8"/>
        <v>0</v>
      </c>
      <c r="G56">
        <f t="shared" si="8"/>
        <v>0</v>
      </c>
      <c r="H56">
        <f t="shared" si="8"/>
        <v>0</v>
      </c>
      <c r="L56" t="s">
        <v>219</v>
      </c>
      <c r="M56">
        <f>M50+M47</f>
        <v>503.93200000000007</v>
      </c>
      <c r="N56">
        <f>F10*2</f>
        <v>61.031999999999996</v>
      </c>
    </row>
    <row r="57" spans="3:22" x14ac:dyDescent="0.25">
      <c r="D57">
        <f t="shared" si="8"/>
        <v>0</v>
      </c>
      <c r="E57">
        <f t="shared" si="8"/>
        <v>0</v>
      </c>
      <c r="F57">
        <f t="shared" si="8"/>
        <v>0</v>
      </c>
      <c r="G57">
        <f t="shared" si="8"/>
        <v>0</v>
      </c>
      <c r="H57">
        <f t="shared" si="8"/>
        <v>0</v>
      </c>
      <c r="L57" t="s">
        <v>366</v>
      </c>
      <c r="M57">
        <f>F8*1.5+F12*1.5</f>
        <v>755.89800000000014</v>
      </c>
      <c r="N57">
        <f>F10*2*3</f>
        <v>183.096</v>
      </c>
      <c r="T57" t="s">
        <v>316</v>
      </c>
    </row>
    <row r="58" spans="3:22" x14ac:dyDescent="0.25">
      <c r="D58">
        <f t="shared" si="8"/>
        <v>0</v>
      </c>
      <c r="E58">
        <f t="shared" si="8"/>
        <v>0</v>
      </c>
      <c r="F58">
        <f t="shared" si="8"/>
        <v>0</v>
      </c>
      <c r="G58">
        <f t="shared" si="8"/>
        <v>0</v>
      </c>
      <c r="H58">
        <f t="shared" si="8"/>
        <v>0</v>
      </c>
      <c r="T58">
        <v>50</v>
      </c>
    </row>
    <row r="59" spans="3:22" x14ac:dyDescent="0.25">
      <c r="D59">
        <f t="shared" si="8"/>
        <v>0</v>
      </c>
      <c r="E59">
        <f t="shared" si="8"/>
        <v>0</v>
      </c>
      <c r="F59">
        <f t="shared" si="8"/>
        <v>0</v>
      </c>
      <c r="G59">
        <f t="shared" si="8"/>
        <v>0</v>
      </c>
      <c r="H59">
        <f t="shared" si="8"/>
        <v>0</v>
      </c>
      <c r="L59" t="s">
        <v>373</v>
      </c>
      <c r="M59">
        <f>(F8+F12+F14)*1.5+F14</f>
        <v>1196.8230000000003</v>
      </c>
      <c r="N59">
        <f>N57</f>
        <v>183.096</v>
      </c>
    </row>
    <row r="60" spans="3:22" x14ac:dyDescent="0.25">
      <c r="D60">
        <f t="shared" si="8"/>
        <v>0</v>
      </c>
      <c r="E60">
        <f t="shared" si="8"/>
        <v>0</v>
      </c>
      <c r="F60">
        <f t="shared" si="8"/>
        <v>0</v>
      </c>
      <c r="G60">
        <f t="shared" si="8"/>
        <v>0</v>
      </c>
      <c r="H60">
        <f t="shared" si="8"/>
        <v>0</v>
      </c>
      <c r="T60" t="s">
        <v>317</v>
      </c>
    </row>
    <row r="61" spans="3:22" x14ac:dyDescent="0.25">
      <c r="D61">
        <f t="shared" si="8"/>
        <v>0</v>
      </c>
      <c r="E61">
        <f t="shared" si="8"/>
        <v>0</v>
      </c>
      <c r="F61">
        <f t="shared" si="8"/>
        <v>0</v>
      </c>
      <c r="G61">
        <f t="shared" si="8"/>
        <v>0</v>
      </c>
      <c r="H61">
        <f t="shared" si="8"/>
        <v>0</v>
      </c>
      <c r="T61">
        <v>0.06</v>
      </c>
    </row>
    <row r="62" spans="3:22" x14ac:dyDescent="0.25">
      <c r="D62">
        <f t="shared" si="8"/>
        <v>0</v>
      </c>
      <c r="E62">
        <f t="shared" si="8"/>
        <v>0</v>
      </c>
      <c r="F62">
        <f t="shared" si="8"/>
        <v>0</v>
      </c>
      <c r="G62">
        <f t="shared" si="8"/>
        <v>0</v>
      </c>
      <c r="H62">
        <f t="shared" si="8"/>
        <v>0</v>
      </c>
      <c r="M62" t="s">
        <v>287</v>
      </c>
      <c r="N62" t="s">
        <v>133</v>
      </c>
    </row>
    <row r="63" spans="3:22" x14ac:dyDescent="0.25">
      <c r="D63">
        <f t="shared" si="8"/>
        <v>0</v>
      </c>
      <c r="E63">
        <f t="shared" si="8"/>
        <v>0</v>
      </c>
      <c r="F63">
        <f t="shared" si="8"/>
        <v>0</v>
      </c>
      <c r="G63">
        <f t="shared" si="8"/>
        <v>0</v>
      </c>
      <c r="H63">
        <f t="shared" si="8"/>
        <v>0</v>
      </c>
      <c r="L63" t="s">
        <v>222</v>
      </c>
      <c r="M63">
        <f>M47+M66</f>
        <v>203.44</v>
      </c>
      <c r="N63">
        <f>M63/(O47+4.5)</f>
        <v>21.875268817204301</v>
      </c>
      <c r="T63" t="s">
        <v>318</v>
      </c>
      <c r="V63">
        <f>100/(100+T58)</f>
        <v>0.66666666666666663</v>
      </c>
    </row>
    <row r="64" spans="3:22" x14ac:dyDescent="0.25">
      <c r="D64">
        <f t="shared" si="8"/>
        <v>0</v>
      </c>
      <c r="E64">
        <f t="shared" si="8"/>
        <v>0</v>
      </c>
      <c r="F64">
        <f t="shared" si="8"/>
        <v>0</v>
      </c>
      <c r="G64">
        <f t="shared" si="8"/>
        <v>0</v>
      </c>
      <c r="H64">
        <f t="shared" si="8"/>
        <v>0</v>
      </c>
      <c r="L64" t="s">
        <v>223</v>
      </c>
      <c r="M64">
        <f>M50</f>
        <v>300.49200000000008</v>
      </c>
      <c r="N64">
        <f>M64/O50</f>
        <v>55.64666666666669</v>
      </c>
      <c r="T64" t="s">
        <v>319</v>
      </c>
      <c r="V64">
        <f>100/(100+T58*(1-T61))</f>
        <v>0.68027210884353739</v>
      </c>
    </row>
    <row r="65" spans="4:24" x14ac:dyDescent="0.25">
      <c r="D65">
        <f t="shared" si="8"/>
        <v>0</v>
      </c>
      <c r="E65">
        <f t="shared" si="8"/>
        <v>0</v>
      </c>
      <c r="F65">
        <f t="shared" si="8"/>
        <v>0</v>
      </c>
      <c r="G65">
        <f t="shared" si="8"/>
        <v>0</v>
      </c>
      <c r="H65">
        <f t="shared" si="8"/>
        <v>0</v>
      </c>
      <c r="L65" t="s">
        <v>224</v>
      </c>
      <c r="M65">
        <f>M53</f>
        <v>176.37</v>
      </c>
      <c r="N65">
        <f>M65/(O53+3)</f>
        <v>15.471052631578948</v>
      </c>
      <c r="T65" t="s">
        <v>320</v>
      </c>
      <c r="V65">
        <f>(V64-V63)/V64</f>
        <v>2.0000000000000021E-2</v>
      </c>
    </row>
    <row r="66" spans="4:24" x14ac:dyDescent="0.25">
      <c r="D66">
        <f t="shared" si="8"/>
        <v>0</v>
      </c>
      <c r="E66">
        <f t="shared" si="8"/>
        <v>0</v>
      </c>
      <c r="F66">
        <f t="shared" si="8"/>
        <v>0</v>
      </c>
      <c r="G66">
        <f t="shared" si="8"/>
        <v>0</v>
      </c>
      <c r="H66">
        <f t="shared" si="8"/>
        <v>0</v>
      </c>
      <c r="L66" t="s">
        <v>294</v>
      </c>
    </row>
    <row r="67" spans="4:24" x14ac:dyDescent="0.25">
      <c r="D67">
        <f t="shared" si="8"/>
        <v>0</v>
      </c>
      <c r="E67">
        <f t="shared" si="8"/>
        <v>0</v>
      </c>
      <c r="F67">
        <f t="shared" si="8"/>
        <v>0</v>
      </c>
      <c r="G67">
        <f t="shared" si="8"/>
        <v>0</v>
      </c>
      <c r="H67">
        <f t="shared" si="8"/>
        <v>0</v>
      </c>
      <c r="L67" t="s">
        <v>233</v>
      </c>
      <c r="M67">
        <f>SUM(M63:M65)</f>
        <v>680.30200000000013</v>
      </c>
      <c r="N67">
        <f>SUM(N63:N65)</f>
        <v>92.992988115449933</v>
      </c>
    </row>
    <row r="68" spans="4:24" x14ac:dyDescent="0.25">
      <c r="D68">
        <f t="shared" si="8"/>
        <v>0</v>
      </c>
      <c r="E68">
        <f t="shared" si="8"/>
        <v>0</v>
      </c>
      <c r="F68">
        <f t="shared" si="8"/>
        <v>0</v>
      </c>
      <c r="G68">
        <f t="shared" si="8"/>
        <v>0</v>
      </c>
      <c r="H68">
        <f t="shared" si="8"/>
        <v>0</v>
      </c>
      <c r="L68" t="s">
        <v>239</v>
      </c>
      <c r="N68">
        <f>B37*(24+1.5*C4)+B27*(25+C4)</f>
        <v>0</v>
      </c>
    </row>
    <row r="69" spans="4:24" x14ac:dyDescent="0.25">
      <c r="D69">
        <f t="shared" si="8"/>
        <v>0</v>
      </c>
      <c r="E69">
        <f t="shared" si="8"/>
        <v>0</v>
      </c>
      <c r="F69">
        <f t="shared" si="8"/>
        <v>0</v>
      </c>
      <c r="G69">
        <f t="shared" si="8"/>
        <v>0</v>
      </c>
      <c r="H69">
        <f t="shared" si="8"/>
        <v>0</v>
      </c>
      <c r="L69" t="s">
        <v>329</v>
      </c>
      <c r="M69">
        <f>2*M8*B99</f>
        <v>0</v>
      </c>
      <c r="N69">
        <f>M69/8</f>
        <v>0</v>
      </c>
      <c r="T69" t="s">
        <v>368</v>
      </c>
    </row>
    <row r="70" spans="4:24" x14ac:dyDescent="0.25">
      <c r="D70">
        <f t="shared" ref="D70:H82" si="9">D37*$B37</f>
        <v>0</v>
      </c>
      <c r="E70">
        <f t="shared" si="9"/>
        <v>0</v>
      </c>
      <c r="F70">
        <f t="shared" si="9"/>
        <v>0</v>
      </c>
      <c r="G70">
        <f t="shared" si="9"/>
        <v>0</v>
      </c>
      <c r="H70">
        <f t="shared" si="9"/>
        <v>0</v>
      </c>
      <c r="L70" t="s">
        <v>360</v>
      </c>
      <c r="M70">
        <f>S10*B107</f>
        <v>0</v>
      </c>
      <c r="R70" s="2"/>
      <c r="V70" t="s">
        <v>362</v>
      </c>
      <c r="X70" t="s">
        <v>367</v>
      </c>
    </row>
    <row r="71" spans="4:24" x14ac:dyDescent="0.25">
      <c r="D71">
        <f t="shared" si="9"/>
        <v>0</v>
      </c>
      <c r="E71">
        <f t="shared" si="9"/>
        <v>0</v>
      </c>
      <c r="F71">
        <f t="shared" si="9"/>
        <v>0</v>
      </c>
      <c r="G71">
        <f t="shared" si="9"/>
        <v>0</v>
      </c>
      <c r="H71">
        <f t="shared" si="9"/>
        <v>0</v>
      </c>
      <c r="L71" t="s">
        <v>232</v>
      </c>
      <c r="N71">
        <f>K99</f>
        <v>135.35793306000005</v>
      </c>
      <c r="T71" t="s">
        <v>363</v>
      </c>
      <c r="V71">
        <f>371.8</f>
        <v>371.8</v>
      </c>
      <c r="X71">
        <v>68.7</v>
      </c>
    </row>
    <row r="72" spans="4:24" x14ac:dyDescent="0.25">
      <c r="D72">
        <f t="shared" si="9"/>
        <v>0</v>
      </c>
      <c r="E72">
        <f t="shared" si="9"/>
        <v>0</v>
      </c>
      <c r="F72">
        <f t="shared" si="9"/>
        <v>0</v>
      </c>
      <c r="G72">
        <f t="shared" si="9"/>
        <v>0</v>
      </c>
      <c r="H72">
        <f t="shared" si="9"/>
        <v>0</v>
      </c>
      <c r="L72" t="s">
        <v>234</v>
      </c>
      <c r="M72">
        <f>SUM(M67:M69)</f>
        <v>680.30200000000013</v>
      </c>
      <c r="N72" s="2">
        <f>N71+N67+N68+N69</f>
        <v>228.35092117544997</v>
      </c>
      <c r="T72" t="s">
        <v>364</v>
      </c>
      <c r="V72">
        <v>343.1</v>
      </c>
    </row>
    <row r="73" spans="4:24" x14ac:dyDescent="0.25">
      <c r="D73">
        <f t="shared" si="9"/>
        <v>0</v>
      </c>
      <c r="E73">
        <f t="shared" si="9"/>
        <v>0</v>
      </c>
      <c r="F73">
        <f t="shared" si="9"/>
        <v>0</v>
      </c>
      <c r="G73">
        <f t="shared" si="9"/>
        <v>0</v>
      </c>
      <c r="H73">
        <f t="shared" si="9"/>
        <v>0</v>
      </c>
    </row>
    <row r="74" spans="4:24" x14ac:dyDescent="0.25">
      <c r="D74">
        <f t="shared" si="9"/>
        <v>0</v>
      </c>
      <c r="E74">
        <f t="shared" si="9"/>
        <v>0</v>
      </c>
      <c r="F74">
        <f t="shared" si="9"/>
        <v>0</v>
      </c>
      <c r="G74">
        <f t="shared" si="9"/>
        <v>0</v>
      </c>
      <c r="H74">
        <f t="shared" si="9"/>
        <v>0</v>
      </c>
      <c r="T74" t="s">
        <v>374</v>
      </c>
    </row>
    <row r="75" spans="4:24" x14ac:dyDescent="0.25">
      <c r="D75">
        <f t="shared" si="9"/>
        <v>0</v>
      </c>
      <c r="E75">
        <f t="shared" si="9"/>
        <v>0</v>
      </c>
      <c r="F75">
        <f t="shared" si="9"/>
        <v>0</v>
      </c>
      <c r="G75">
        <f t="shared" si="9"/>
        <v>0</v>
      </c>
      <c r="H75">
        <f t="shared" si="9"/>
        <v>0</v>
      </c>
      <c r="T75" t="s">
        <v>363</v>
      </c>
      <c r="V75">
        <v>494.7</v>
      </c>
      <c r="X75">
        <f>96.5</f>
        <v>96.5</v>
      </c>
    </row>
    <row r="76" spans="4:24" x14ac:dyDescent="0.25">
      <c r="D76">
        <f t="shared" si="9"/>
        <v>0</v>
      </c>
      <c r="E76">
        <f t="shared" si="9"/>
        <v>0</v>
      </c>
      <c r="F76">
        <f t="shared" si="9"/>
        <v>0</v>
      </c>
      <c r="G76">
        <f t="shared" si="9"/>
        <v>0</v>
      </c>
      <c r="H76">
        <f t="shared" si="9"/>
        <v>0</v>
      </c>
    </row>
    <row r="77" spans="4:24" x14ac:dyDescent="0.25">
      <c r="D77">
        <f t="shared" si="9"/>
        <v>0</v>
      </c>
      <c r="E77">
        <f t="shared" si="9"/>
        <v>0</v>
      </c>
      <c r="F77">
        <f t="shared" si="9"/>
        <v>0</v>
      </c>
      <c r="G77">
        <f t="shared" si="9"/>
        <v>0</v>
      </c>
      <c r="H77">
        <f t="shared" si="9"/>
        <v>0</v>
      </c>
    </row>
    <row r="78" spans="4:24" x14ac:dyDescent="0.25">
      <c r="D78">
        <f t="shared" si="9"/>
        <v>0</v>
      </c>
      <c r="E78">
        <f t="shared" si="9"/>
        <v>0</v>
      </c>
      <c r="F78">
        <f t="shared" si="9"/>
        <v>0</v>
      </c>
      <c r="G78">
        <f t="shared" si="9"/>
        <v>0</v>
      </c>
      <c r="H78">
        <f t="shared" si="9"/>
        <v>0</v>
      </c>
    </row>
    <row r="79" spans="4:24" x14ac:dyDescent="0.25">
      <c r="D79">
        <f t="shared" si="9"/>
        <v>0</v>
      </c>
      <c r="E79">
        <f t="shared" si="9"/>
        <v>0</v>
      </c>
      <c r="F79">
        <f t="shared" si="9"/>
        <v>0</v>
      </c>
      <c r="G79">
        <f t="shared" si="9"/>
        <v>0</v>
      </c>
      <c r="H79">
        <f t="shared" si="9"/>
        <v>0</v>
      </c>
    </row>
    <row r="80" spans="4:24" x14ac:dyDescent="0.25">
      <c r="D80">
        <f t="shared" si="9"/>
        <v>0</v>
      </c>
      <c r="E80">
        <f t="shared" si="9"/>
        <v>0</v>
      </c>
      <c r="F80">
        <f t="shared" si="9"/>
        <v>0</v>
      </c>
      <c r="G80">
        <f t="shared" si="9"/>
        <v>0</v>
      </c>
      <c r="H80">
        <f t="shared" si="9"/>
        <v>0</v>
      </c>
    </row>
    <row r="81" spans="2:22" x14ac:dyDescent="0.25">
      <c r="D81">
        <f t="shared" si="9"/>
        <v>0</v>
      </c>
      <c r="E81">
        <f t="shared" si="9"/>
        <v>0</v>
      </c>
      <c r="F81">
        <f t="shared" si="9"/>
        <v>0</v>
      </c>
      <c r="G81">
        <f t="shared" si="9"/>
        <v>0</v>
      </c>
      <c r="H81">
        <f t="shared" si="9"/>
        <v>0</v>
      </c>
      <c r="R81" t="s">
        <v>255</v>
      </c>
      <c r="T81" t="s">
        <v>256</v>
      </c>
      <c r="U81" t="s">
        <v>258</v>
      </c>
      <c r="V81" t="s">
        <v>259</v>
      </c>
    </row>
    <row r="82" spans="2:22" x14ac:dyDescent="0.25">
      <c r="D82">
        <f t="shared" si="9"/>
        <v>0</v>
      </c>
      <c r="E82">
        <f t="shared" si="9"/>
        <v>0</v>
      </c>
      <c r="F82">
        <f t="shared" si="9"/>
        <v>0</v>
      </c>
      <c r="G82">
        <f t="shared" si="9"/>
        <v>0</v>
      </c>
      <c r="H82">
        <f t="shared" si="9"/>
        <v>0</v>
      </c>
      <c r="R82">
        <f>S20</f>
        <v>99.184000000000012</v>
      </c>
      <c r="S82">
        <f>100/(100+S20)</f>
        <v>0.50204835729777486</v>
      </c>
    </row>
    <row r="83" spans="2:22" x14ac:dyDescent="0.25">
      <c r="C83" s="2" t="s">
        <v>73</v>
      </c>
      <c r="D83">
        <f>SUM(D53:D82)</f>
        <v>0</v>
      </c>
      <c r="E83">
        <f>SUM(E53:E82)</f>
        <v>0</v>
      </c>
      <c r="F83">
        <f>SUM(F53:F82)</f>
        <v>0</v>
      </c>
      <c r="G83">
        <f>SUM(G53:G82)</f>
        <v>0</v>
      </c>
      <c r="H83">
        <f>SUM(H53:H82)</f>
        <v>0</v>
      </c>
      <c r="Q83" t="s">
        <v>257</v>
      </c>
      <c r="S83">
        <f>S82*0.9</f>
        <v>0.4518435215679974</v>
      </c>
      <c r="T83">
        <f>100/S83-100</f>
        <v>121.31555555555556</v>
      </c>
      <c r="U83">
        <f>T83-R82</f>
        <v>22.131555555555551</v>
      </c>
    </row>
    <row r="84" spans="2:22" x14ac:dyDescent="0.25">
      <c r="Q84" t="s">
        <v>259</v>
      </c>
      <c r="S84">
        <f>S83*0.85</f>
        <v>0.38406699333279776</v>
      </c>
      <c r="T84">
        <f>100/S84-100</f>
        <v>160.3712418300654</v>
      </c>
      <c r="V84">
        <f>T84-T83</f>
        <v>39.055686274509839</v>
      </c>
    </row>
    <row r="87" spans="2:22" x14ac:dyDescent="0.25">
      <c r="B87" s="2" t="s">
        <v>35</v>
      </c>
      <c r="C87" s="2" t="s">
        <v>36</v>
      </c>
      <c r="D87" s="2" t="s">
        <v>37</v>
      </c>
      <c r="E87" s="2" t="s">
        <v>38</v>
      </c>
      <c r="F87" s="2" t="s">
        <v>39</v>
      </c>
      <c r="I87" s="2" t="s">
        <v>40</v>
      </c>
      <c r="J87" s="2" t="s">
        <v>37</v>
      </c>
      <c r="K87" s="2" t="s">
        <v>38</v>
      </c>
      <c r="L87" s="2" t="s">
        <v>41</v>
      </c>
    </row>
    <row r="88" spans="2:22" x14ac:dyDescent="0.25">
      <c r="C88" t="s">
        <v>43</v>
      </c>
      <c r="D88">
        <v>80</v>
      </c>
      <c r="E88">
        <v>0</v>
      </c>
      <c r="F88">
        <v>0.25</v>
      </c>
      <c r="J88">
        <f>D138</f>
        <v>0</v>
      </c>
      <c r="K88">
        <f>E138</f>
        <v>0</v>
      </c>
      <c r="L88">
        <f>F138</f>
        <v>0</v>
      </c>
    </row>
    <row r="89" spans="2:22" x14ac:dyDescent="0.25">
      <c r="C89" t="s">
        <v>44</v>
      </c>
      <c r="D89">
        <v>0</v>
      </c>
      <c r="E89">
        <v>0.5</v>
      </c>
      <c r="F89">
        <v>0.3</v>
      </c>
    </row>
    <row r="90" spans="2:22" x14ac:dyDescent="0.25">
      <c r="C90" t="s">
        <v>45</v>
      </c>
      <c r="E90">
        <v>0.4</v>
      </c>
      <c r="F90">
        <v>0.2</v>
      </c>
      <c r="I90" t="s">
        <v>12</v>
      </c>
      <c r="K90">
        <f>AA10</f>
        <v>0.96458250000000012</v>
      </c>
    </row>
    <row r="91" spans="2:22" x14ac:dyDescent="0.25">
      <c r="C91" t="s">
        <v>46</v>
      </c>
      <c r="D91">
        <v>40</v>
      </c>
      <c r="E91">
        <v>0</v>
      </c>
      <c r="F91">
        <v>0</v>
      </c>
    </row>
    <row r="92" spans="2:22" x14ac:dyDescent="0.25">
      <c r="C92" t="s">
        <v>47</v>
      </c>
      <c r="D92">
        <v>80</v>
      </c>
      <c r="E92">
        <v>0</v>
      </c>
      <c r="F92">
        <v>0</v>
      </c>
      <c r="I92" t="s">
        <v>48</v>
      </c>
      <c r="K92">
        <v>2.5</v>
      </c>
    </row>
    <row r="93" spans="2:22" x14ac:dyDescent="0.25">
      <c r="C93" t="s">
        <v>49</v>
      </c>
      <c r="D93">
        <v>80</v>
      </c>
    </row>
    <row r="94" spans="2:22" x14ac:dyDescent="0.25">
      <c r="C94" t="s">
        <v>50</v>
      </c>
      <c r="D94">
        <v>7</v>
      </c>
      <c r="I94" t="s">
        <v>51</v>
      </c>
      <c r="K94">
        <f>S10</f>
        <v>140.32800000000003</v>
      </c>
    </row>
    <row r="95" spans="2:22" x14ac:dyDescent="0.25">
      <c r="C95" t="s">
        <v>52</v>
      </c>
      <c r="D95">
        <v>25</v>
      </c>
      <c r="E95">
        <v>0.5</v>
      </c>
      <c r="I95" t="s">
        <v>53</v>
      </c>
      <c r="K95">
        <f>K94*(1+1.5*L88)</f>
        <v>140.32800000000003</v>
      </c>
    </row>
    <row r="96" spans="2:22" x14ac:dyDescent="0.25">
      <c r="C96" t="s">
        <v>54</v>
      </c>
      <c r="D96">
        <v>25</v>
      </c>
      <c r="E96">
        <v>0.4</v>
      </c>
      <c r="F96">
        <v>0</v>
      </c>
      <c r="I96" t="s">
        <v>55</v>
      </c>
      <c r="K96">
        <f>K94*IF(B88,2.5,2)</f>
        <v>280.65600000000006</v>
      </c>
    </row>
    <row r="97" spans="3:11" x14ac:dyDescent="0.25">
      <c r="C97" t="s">
        <v>56</v>
      </c>
      <c r="D97">
        <v>30</v>
      </c>
      <c r="E97">
        <v>0</v>
      </c>
      <c r="F97">
        <v>0.15</v>
      </c>
    </row>
    <row r="98" spans="3:11" x14ac:dyDescent="0.25">
      <c r="C98" t="s">
        <v>57</v>
      </c>
      <c r="E98">
        <v>0.2</v>
      </c>
      <c r="I98" t="s">
        <v>58</v>
      </c>
      <c r="K98">
        <f>S10*K90</f>
        <v>135.35793306000005</v>
      </c>
    </row>
    <row r="99" spans="3:11" x14ac:dyDescent="0.25">
      <c r="C99" t="s">
        <v>59</v>
      </c>
      <c r="D99">
        <v>30</v>
      </c>
      <c r="E99">
        <v>0.3</v>
      </c>
      <c r="F99">
        <v>0.1</v>
      </c>
      <c r="I99" t="s">
        <v>60</v>
      </c>
      <c r="K99">
        <f>K98*(1+1.5*L88)</f>
        <v>135.35793306000005</v>
      </c>
    </row>
    <row r="100" spans="3:11" x14ac:dyDescent="0.25">
      <c r="C100" t="s">
        <v>61</v>
      </c>
      <c r="D100">
        <v>20</v>
      </c>
    </row>
    <row r="101" spans="3:11" x14ac:dyDescent="0.25">
      <c r="C101" t="s">
        <v>62</v>
      </c>
      <c r="D101">
        <v>60</v>
      </c>
    </row>
    <row r="102" spans="3:11" x14ac:dyDescent="0.25">
      <c r="C102" t="s">
        <v>63</v>
      </c>
      <c r="D102">
        <v>25</v>
      </c>
    </row>
    <row r="103" spans="3:11" x14ac:dyDescent="0.25">
      <c r="C103" t="s">
        <v>64</v>
      </c>
      <c r="D103">
        <v>40</v>
      </c>
    </row>
    <row r="104" spans="3:11" x14ac:dyDescent="0.25">
      <c r="C104" t="s">
        <v>65</v>
      </c>
      <c r="D104">
        <v>25</v>
      </c>
    </row>
    <row r="105" spans="3:11" x14ac:dyDescent="0.25">
      <c r="C105" t="s">
        <v>66</v>
      </c>
      <c r="D105">
        <v>25</v>
      </c>
    </row>
    <row r="106" spans="3:11" x14ac:dyDescent="0.25">
      <c r="C106" t="s">
        <v>67</v>
      </c>
      <c r="D106">
        <v>40</v>
      </c>
    </row>
    <row r="107" spans="3:11" x14ac:dyDescent="0.25">
      <c r="C107" t="s">
        <v>68</v>
      </c>
      <c r="D107">
        <v>75</v>
      </c>
    </row>
    <row r="108" spans="3:11" x14ac:dyDescent="0.25">
      <c r="C108" t="s">
        <v>69</v>
      </c>
      <c r="D108">
        <v>10</v>
      </c>
    </row>
    <row r="109" spans="3:11" x14ac:dyDescent="0.25">
      <c r="C109" t="s">
        <v>70</v>
      </c>
      <c r="D109">
        <v>25</v>
      </c>
    </row>
    <row r="110" spans="3:11" x14ac:dyDescent="0.25">
      <c r="C110" t="s">
        <v>71</v>
      </c>
      <c r="D110">
        <v>50</v>
      </c>
    </row>
    <row r="114" spans="3:6" x14ac:dyDescent="0.25">
      <c r="C114" s="2" t="s">
        <v>72</v>
      </c>
    </row>
    <row r="115" spans="3:6" x14ac:dyDescent="0.25">
      <c r="D115">
        <f t="shared" ref="D115:D137" si="10">D88*B88</f>
        <v>0</v>
      </c>
      <c r="E115">
        <f t="shared" ref="E115:E137" si="11">E88*B88</f>
        <v>0</v>
      </c>
      <c r="F115">
        <f t="shared" ref="F115:F137" si="12">F88*B88</f>
        <v>0</v>
      </c>
    </row>
    <row r="116" spans="3:6" x14ac:dyDescent="0.25">
      <c r="D116">
        <f t="shared" si="10"/>
        <v>0</v>
      </c>
      <c r="E116">
        <f t="shared" si="11"/>
        <v>0</v>
      </c>
      <c r="F116">
        <f t="shared" si="12"/>
        <v>0</v>
      </c>
    </row>
    <row r="117" spans="3:6" x14ac:dyDescent="0.25">
      <c r="D117">
        <f t="shared" si="10"/>
        <v>0</v>
      </c>
      <c r="E117">
        <f t="shared" si="11"/>
        <v>0</v>
      </c>
      <c r="F117">
        <f t="shared" si="12"/>
        <v>0</v>
      </c>
    </row>
    <row r="118" spans="3:6" x14ac:dyDescent="0.25">
      <c r="D118">
        <f t="shared" si="10"/>
        <v>0</v>
      </c>
      <c r="E118">
        <f t="shared" si="11"/>
        <v>0</v>
      </c>
      <c r="F118">
        <f t="shared" si="12"/>
        <v>0</v>
      </c>
    </row>
    <row r="119" spans="3:6" x14ac:dyDescent="0.25">
      <c r="D119">
        <f t="shared" si="10"/>
        <v>0</v>
      </c>
      <c r="E119">
        <f t="shared" si="11"/>
        <v>0</v>
      </c>
      <c r="F119">
        <f t="shared" si="12"/>
        <v>0</v>
      </c>
    </row>
    <row r="120" spans="3:6" x14ac:dyDescent="0.25">
      <c r="D120">
        <f t="shared" si="10"/>
        <v>0</v>
      </c>
      <c r="E120">
        <f t="shared" si="11"/>
        <v>0</v>
      </c>
      <c r="F120">
        <f t="shared" si="12"/>
        <v>0</v>
      </c>
    </row>
    <row r="121" spans="3:6" x14ac:dyDescent="0.25">
      <c r="D121">
        <f t="shared" si="10"/>
        <v>0</v>
      </c>
      <c r="E121">
        <f t="shared" si="11"/>
        <v>0</v>
      </c>
      <c r="F121">
        <f t="shared" si="12"/>
        <v>0</v>
      </c>
    </row>
    <row r="122" spans="3:6" x14ac:dyDescent="0.25">
      <c r="D122">
        <f t="shared" si="10"/>
        <v>0</v>
      </c>
      <c r="E122">
        <f t="shared" si="11"/>
        <v>0</v>
      </c>
      <c r="F122">
        <f t="shared" si="12"/>
        <v>0</v>
      </c>
    </row>
    <row r="123" spans="3:6" x14ac:dyDescent="0.25">
      <c r="D123">
        <f t="shared" si="10"/>
        <v>0</v>
      </c>
      <c r="E123">
        <f t="shared" si="11"/>
        <v>0</v>
      </c>
      <c r="F123">
        <f t="shared" si="12"/>
        <v>0</v>
      </c>
    </row>
    <row r="124" spans="3:6" x14ac:dyDescent="0.25">
      <c r="D124">
        <f t="shared" si="10"/>
        <v>0</v>
      </c>
      <c r="E124">
        <f t="shared" si="11"/>
        <v>0</v>
      </c>
      <c r="F124">
        <f t="shared" si="12"/>
        <v>0</v>
      </c>
    </row>
    <row r="125" spans="3:6" x14ac:dyDescent="0.25">
      <c r="D125">
        <f t="shared" si="10"/>
        <v>0</v>
      </c>
      <c r="E125">
        <f t="shared" si="11"/>
        <v>0</v>
      </c>
      <c r="F125">
        <f t="shared" si="12"/>
        <v>0</v>
      </c>
    </row>
    <row r="126" spans="3:6" x14ac:dyDescent="0.25">
      <c r="D126">
        <f t="shared" si="10"/>
        <v>0</v>
      </c>
      <c r="E126">
        <f t="shared" si="11"/>
        <v>0</v>
      </c>
      <c r="F126">
        <f t="shared" si="12"/>
        <v>0</v>
      </c>
    </row>
    <row r="127" spans="3:6" x14ac:dyDescent="0.25">
      <c r="D127">
        <f t="shared" si="10"/>
        <v>0</v>
      </c>
      <c r="E127">
        <f t="shared" si="11"/>
        <v>0</v>
      </c>
      <c r="F127">
        <f t="shared" si="12"/>
        <v>0</v>
      </c>
    </row>
    <row r="128" spans="3:6" x14ac:dyDescent="0.25">
      <c r="D128">
        <f t="shared" si="10"/>
        <v>0</v>
      </c>
      <c r="E128">
        <f t="shared" si="11"/>
        <v>0</v>
      </c>
      <c r="F128">
        <f t="shared" si="12"/>
        <v>0</v>
      </c>
    </row>
    <row r="129" spans="3:6" x14ac:dyDescent="0.25">
      <c r="D129">
        <f t="shared" si="10"/>
        <v>0</v>
      </c>
      <c r="E129">
        <f t="shared" si="11"/>
        <v>0</v>
      </c>
      <c r="F129">
        <f t="shared" si="12"/>
        <v>0</v>
      </c>
    </row>
    <row r="130" spans="3:6" x14ac:dyDescent="0.25">
      <c r="D130">
        <f t="shared" si="10"/>
        <v>0</v>
      </c>
      <c r="E130">
        <f t="shared" si="11"/>
        <v>0</v>
      </c>
      <c r="F130">
        <f t="shared" si="12"/>
        <v>0</v>
      </c>
    </row>
    <row r="131" spans="3:6" x14ac:dyDescent="0.25">
      <c r="D131">
        <f t="shared" si="10"/>
        <v>0</v>
      </c>
      <c r="E131">
        <f t="shared" si="11"/>
        <v>0</v>
      </c>
      <c r="F131">
        <f t="shared" si="12"/>
        <v>0</v>
      </c>
    </row>
    <row r="132" spans="3:6" x14ac:dyDescent="0.25">
      <c r="D132">
        <f t="shared" si="10"/>
        <v>0</v>
      </c>
      <c r="E132">
        <f t="shared" si="11"/>
        <v>0</v>
      </c>
      <c r="F132">
        <f t="shared" si="12"/>
        <v>0</v>
      </c>
    </row>
    <row r="133" spans="3:6" x14ac:dyDescent="0.25">
      <c r="D133">
        <f t="shared" si="10"/>
        <v>0</v>
      </c>
      <c r="E133">
        <f t="shared" si="11"/>
        <v>0</v>
      </c>
      <c r="F133">
        <f t="shared" si="12"/>
        <v>0</v>
      </c>
    </row>
    <row r="134" spans="3:6" x14ac:dyDescent="0.25">
      <c r="D134">
        <f t="shared" si="10"/>
        <v>0</v>
      </c>
      <c r="E134">
        <f t="shared" si="11"/>
        <v>0</v>
      </c>
      <c r="F134">
        <f t="shared" si="12"/>
        <v>0</v>
      </c>
    </row>
    <row r="135" spans="3:6" x14ac:dyDescent="0.25">
      <c r="D135">
        <f t="shared" si="10"/>
        <v>0</v>
      </c>
      <c r="E135">
        <f t="shared" si="11"/>
        <v>0</v>
      </c>
      <c r="F135">
        <f t="shared" si="12"/>
        <v>0</v>
      </c>
    </row>
    <row r="136" spans="3:6" x14ac:dyDescent="0.25">
      <c r="D136">
        <f t="shared" si="10"/>
        <v>0</v>
      </c>
      <c r="E136">
        <f t="shared" si="11"/>
        <v>0</v>
      </c>
      <c r="F136">
        <f t="shared" si="12"/>
        <v>0</v>
      </c>
    </row>
    <row r="137" spans="3:6" x14ac:dyDescent="0.25">
      <c r="D137">
        <f t="shared" si="10"/>
        <v>0</v>
      </c>
      <c r="E137">
        <f t="shared" si="11"/>
        <v>0</v>
      </c>
      <c r="F137">
        <f t="shared" si="12"/>
        <v>0</v>
      </c>
    </row>
    <row r="138" spans="3:6" x14ac:dyDescent="0.25">
      <c r="C138" s="2" t="s">
        <v>73</v>
      </c>
      <c r="D138">
        <f>SUM(D115:D137)</f>
        <v>0</v>
      </c>
      <c r="E138">
        <f>SUM(E115:E137)</f>
        <v>0</v>
      </c>
      <c r="F138">
        <f>SUM(F115:F137)</f>
        <v>0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AH138"/>
  <sheetViews>
    <sheetView zoomScaleNormal="100" workbookViewId="0">
      <selection activeCell="U27" sqref="U27"/>
    </sheetView>
  </sheetViews>
  <sheetFormatPr defaultRowHeight="15" x14ac:dyDescent="0.25"/>
  <cols>
    <col min="3" max="3" width="19.5703125" customWidth="1"/>
  </cols>
  <sheetData>
    <row r="3" spans="2:27" x14ac:dyDescent="0.25">
      <c r="B3" t="s">
        <v>359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Q3" t="s">
        <v>236</v>
      </c>
      <c r="R3" t="s">
        <v>4</v>
      </c>
      <c r="U3" t="s">
        <v>5</v>
      </c>
      <c r="X3" t="s">
        <v>134</v>
      </c>
      <c r="Z3" t="s">
        <v>157</v>
      </c>
    </row>
    <row r="4" spans="2:27" x14ac:dyDescent="0.25">
      <c r="B4" t="s">
        <v>6</v>
      </c>
      <c r="C4">
        <v>13</v>
      </c>
      <c r="E4" t="s">
        <v>124</v>
      </c>
      <c r="F4">
        <v>10.95</v>
      </c>
      <c r="H4" t="s">
        <v>7</v>
      </c>
      <c r="I4">
        <v>607.20000000000005</v>
      </c>
      <c r="J4">
        <v>90</v>
      </c>
      <c r="L4" t="s">
        <v>7</v>
      </c>
      <c r="M4">
        <f>I4+J4*$F$4</f>
        <v>1592.6999999999998</v>
      </c>
      <c r="O4" t="s">
        <v>9</v>
      </c>
      <c r="P4">
        <f>J88+M8</f>
        <v>97.679000000000002</v>
      </c>
      <c r="Q4">
        <v>1</v>
      </c>
      <c r="R4" t="s">
        <v>10</v>
      </c>
      <c r="S4">
        <f>Q4*(4+10/18*C4)</f>
        <v>11.222222222222221</v>
      </c>
      <c r="U4" t="s">
        <v>10</v>
      </c>
      <c r="V4">
        <v>0</v>
      </c>
      <c r="X4">
        <v>760</v>
      </c>
      <c r="Z4" t="s">
        <v>19</v>
      </c>
      <c r="AA4">
        <f>I9</f>
        <v>0.66500000000000004</v>
      </c>
    </row>
    <row r="5" spans="2:27" x14ac:dyDescent="0.25">
      <c r="H5" t="s">
        <v>120</v>
      </c>
      <c r="I5">
        <v>8.59</v>
      </c>
      <c r="J5">
        <v>0.65</v>
      </c>
      <c r="L5" t="s">
        <v>120</v>
      </c>
      <c r="M5">
        <f t="shared" ref="M5:M12" si="0">I5+J5*$F$4</f>
        <v>15.7075</v>
      </c>
      <c r="O5" t="s">
        <v>12</v>
      </c>
      <c r="P5">
        <f>M9+I9*K88</f>
        <v>0.89801600000000004</v>
      </c>
      <c r="R5" t="s">
        <v>13</v>
      </c>
      <c r="S5">
        <v>0</v>
      </c>
      <c r="U5" t="s">
        <v>13</v>
      </c>
      <c r="V5">
        <v>0</v>
      </c>
      <c r="Z5" t="s">
        <v>168</v>
      </c>
      <c r="AA5">
        <f>F4*J9</f>
        <v>0.35039999999999999</v>
      </c>
    </row>
    <row r="6" spans="2:27" x14ac:dyDescent="0.25">
      <c r="H6" t="s">
        <v>121</v>
      </c>
      <c r="I6">
        <v>288.8</v>
      </c>
      <c r="J6">
        <v>35</v>
      </c>
      <c r="L6" t="s">
        <v>121</v>
      </c>
      <c r="M6">
        <f t="shared" si="0"/>
        <v>672.05</v>
      </c>
      <c r="R6" t="s">
        <v>16</v>
      </c>
      <c r="S6">
        <f>J88</f>
        <v>0</v>
      </c>
      <c r="U6" t="s">
        <v>16</v>
      </c>
      <c r="V6">
        <v>0</v>
      </c>
      <c r="Z6" t="s">
        <v>10</v>
      </c>
      <c r="AA6">
        <v>0</v>
      </c>
    </row>
    <row r="7" spans="2:27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I7">
        <v>8.09</v>
      </c>
      <c r="J7">
        <v>0.55000000000000004</v>
      </c>
      <c r="L7" t="s">
        <v>122</v>
      </c>
      <c r="M7">
        <f t="shared" si="0"/>
        <v>14.112500000000001</v>
      </c>
      <c r="O7" t="s">
        <v>7</v>
      </c>
      <c r="P7">
        <f>M4+L20</f>
        <v>2842.7</v>
      </c>
      <c r="R7" s="2"/>
      <c r="Z7" t="s">
        <v>158</v>
      </c>
      <c r="AA7">
        <v>0.28999999999999998</v>
      </c>
    </row>
    <row r="8" spans="2:27" x14ac:dyDescent="0.25">
      <c r="B8" t="s">
        <v>25</v>
      </c>
      <c r="C8">
        <v>1</v>
      </c>
      <c r="D8">
        <f>-10+30*C8</f>
        <v>20</v>
      </c>
      <c r="E8">
        <f>S10</f>
        <v>108.90122222222223</v>
      </c>
      <c r="F8">
        <f>E8+D8</f>
        <v>128.90122222222223</v>
      </c>
      <c r="H8" t="s">
        <v>8</v>
      </c>
      <c r="I8">
        <v>61.543999999999997</v>
      </c>
      <c r="J8">
        <v>3.3</v>
      </c>
      <c r="L8" t="s">
        <v>8</v>
      </c>
      <c r="M8">
        <f t="shared" si="0"/>
        <v>97.679000000000002</v>
      </c>
      <c r="O8" t="s">
        <v>120</v>
      </c>
      <c r="P8">
        <f>(M5+M5*M20+N20+V18*0.01)*(1+0.2*B29)</f>
        <v>146.04736499999999</v>
      </c>
      <c r="R8" t="s">
        <v>26</v>
      </c>
      <c r="S8">
        <f>SUM(S4:S7)</f>
        <v>11.222222222222221</v>
      </c>
      <c r="U8" t="s">
        <v>26</v>
      </c>
      <c r="V8">
        <f>SUM(V4:V7)</f>
        <v>0</v>
      </c>
      <c r="Z8" t="s">
        <v>159</v>
      </c>
      <c r="AA8">
        <f>K88</f>
        <v>0</v>
      </c>
    </row>
    <row r="9" spans="2:27" x14ac:dyDescent="0.25">
      <c r="H9" t="s">
        <v>14</v>
      </c>
      <c r="I9">
        <v>0.66500000000000004</v>
      </c>
      <c r="J9">
        <v>3.2000000000000001E-2</v>
      </c>
      <c r="L9" t="s">
        <v>14</v>
      </c>
      <c r="M9">
        <f>I9+I9*J9*$F$4</f>
        <v>0.89801600000000004</v>
      </c>
      <c r="O9" t="s">
        <v>15</v>
      </c>
      <c r="P9">
        <f>M10+J20</f>
        <v>66.5625</v>
      </c>
    </row>
    <row r="10" spans="2:27" x14ac:dyDescent="0.25">
      <c r="H10" t="s">
        <v>15</v>
      </c>
      <c r="I10">
        <v>25.5</v>
      </c>
      <c r="J10">
        <v>3.75</v>
      </c>
      <c r="L10" t="s">
        <v>15</v>
      </c>
      <c r="M10">
        <f t="shared" si="0"/>
        <v>66.5625</v>
      </c>
      <c r="O10" t="s">
        <v>23</v>
      </c>
      <c r="P10">
        <f>M11+K20</f>
        <v>80.787499999999994</v>
      </c>
      <c r="R10" t="s">
        <v>31</v>
      </c>
      <c r="S10">
        <f>P4+S4+S5</f>
        <v>108.90122222222223</v>
      </c>
      <c r="U10" t="s">
        <v>32</v>
      </c>
      <c r="V10">
        <v>0</v>
      </c>
      <c r="Z10" t="s">
        <v>160</v>
      </c>
      <c r="AA10">
        <f>(1+SUM(AA5:AA8))*AA4</f>
        <v>1.0908660000000001</v>
      </c>
    </row>
    <row r="11" spans="2:27" x14ac:dyDescent="0.25">
      <c r="B11" t="s">
        <v>29</v>
      </c>
      <c r="C11">
        <v>5</v>
      </c>
      <c r="D11">
        <f>15*C11</f>
        <v>75</v>
      </c>
      <c r="F11">
        <f>E11+D11</f>
        <v>75</v>
      </c>
      <c r="H11" t="s">
        <v>23</v>
      </c>
      <c r="I11">
        <v>32.1</v>
      </c>
      <c r="J11">
        <v>1.25</v>
      </c>
      <c r="L11" t="s">
        <v>23</v>
      </c>
      <c r="M11">
        <f t="shared" si="0"/>
        <v>45.787500000000001</v>
      </c>
    </row>
    <row r="12" spans="2:27" x14ac:dyDescent="0.25">
      <c r="D12">
        <f>6+4*C11</f>
        <v>26</v>
      </c>
      <c r="F12">
        <f>E12+D12</f>
        <v>26</v>
      </c>
      <c r="H12" t="s">
        <v>123</v>
      </c>
      <c r="I12">
        <v>345</v>
      </c>
      <c r="L12" t="s">
        <v>123</v>
      </c>
      <c r="M12">
        <f t="shared" si="0"/>
        <v>345</v>
      </c>
      <c r="O12" t="s">
        <v>91</v>
      </c>
      <c r="R12" t="s">
        <v>86</v>
      </c>
      <c r="U12" t="s">
        <v>88</v>
      </c>
      <c r="X12" t="s">
        <v>95</v>
      </c>
    </row>
    <row r="13" spans="2:27" x14ac:dyDescent="0.25">
      <c r="O13" t="s">
        <v>92</v>
      </c>
      <c r="P13">
        <v>0</v>
      </c>
      <c r="R13" t="s">
        <v>2</v>
      </c>
      <c r="S13">
        <f>M10</f>
        <v>66.5625</v>
      </c>
      <c r="U13" t="s">
        <v>2</v>
      </c>
      <c r="V13">
        <f>M4</f>
        <v>1592.6999999999998</v>
      </c>
      <c r="X13" t="s">
        <v>2</v>
      </c>
      <c r="Y13">
        <f>M11</f>
        <v>45.787500000000001</v>
      </c>
    </row>
    <row r="14" spans="2:27" x14ac:dyDescent="0.25">
      <c r="B14" t="s">
        <v>33</v>
      </c>
      <c r="C14">
        <v>2</v>
      </c>
      <c r="D14">
        <f>40+40*C14</f>
        <v>120</v>
      </c>
      <c r="E14">
        <f>0.5*V10</f>
        <v>0</v>
      </c>
      <c r="F14">
        <f>E14+D14</f>
        <v>120</v>
      </c>
      <c r="O14" t="s">
        <v>93</v>
      </c>
      <c r="P14">
        <v>1</v>
      </c>
      <c r="R14" t="s">
        <v>10</v>
      </c>
      <c r="S14">
        <f>5+2*P15</f>
        <v>5</v>
      </c>
      <c r="U14" t="s">
        <v>16</v>
      </c>
      <c r="V14">
        <f>L20</f>
        <v>1250</v>
      </c>
      <c r="X14" t="s">
        <v>10</v>
      </c>
      <c r="Y14">
        <v>5</v>
      </c>
    </row>
    <row r="15" spans="2:27" x14ac:dyDescent="0.25">
      <c r="O15" t="s">
        <v>94</v>
      </c>
      <c r="P15">
        <v>0</v>
      </c>
      <c r="R15" t="s">
        <v>13</v>
      </c>
      <c r="S15">
        <f>P16+3*P17/18*C4</f>
        <v>9</v>
      </c>
      <c r="U15" t="s">
        <v>158</v>
      </c>
      <c r="V15">
        <f>(24*P18/18*C4)</f>
        <v>0</v>
      </c>
      <c r="X15" t="s">
        <v>13</v>
      </c>
      <c r="Y15">
        <v>12</v>
      </c>
    </row>
    <row r="16" spans="2:27" x14ac:dyDescent="0.25">
      <c r="B16" t="s">
        <v>34</v>
      </c>
      <c r="C16">
        <v>1</v>
      </c>
      <c r="D16">
        <f>40+40*C16</f>
        <v>80</v>
      </c>
      <c r="E16">
        <f>0.5*V10+0.6*S8</f>
        <v>6.7333333333333325</v>
      </c>
      <c r="F16">
        <f>E16+D16</f>
        <v>86.733333333333334</v>
      </c>
      <c r="G16" t="s">
        <v>0</v>
      </c>
      <c r="N16" t="s">
        <v>158</v>
      </c>
      <c r="O16" t="s">
        <v>216</v>
      </c>
      <c r="P16">
        <v>9</v>
      </c>
      <c r="R16" t="s">
        <v>16</v>
      </c>
      <c r="S16">
        <f>J20</f>
        <v>0</v>
      </c>
      <c r="U16" t="s">
        <v>10</v>
      </c>
      <c r="V16">
        <f>36+0.03*(V13+V14+V15)*P14</f>
        <v>121.28099999999999</v>
      </c>
      <c r="X16" t="s">
        <v>16</v>
      </c>
      <c r="Y16">
        <f>K20</f>
        <v>35</v>
      </c>
    </row>
    <row r="17" spans="1:34" x14ac:dyDescent="0.25">
      <c r="O17" t="s">
        <v>217</v>
      </c>
      <c r="P17">
        <v>0</v>
      </c>
      <c r="R17" s="2"/>
      <c r="S17" s="2"/>
      <c r="X17" s="2"/>
    </row>
    <row r="18" spans="1:34" x14ac:dyDescent="0.25">
      <c r="J18" s="2" t="s">
        <v>40</v>
      </c>
      <c r="O18" t="s">
        <v>357</v>
      </c>
      <c r="P18">
        <v>0</v>
      </c>
      <c r="R18" t="s">
        <v>10</v>
      </c>
      <c r="S18">
        <f>P13*0.025*SUM(S14:S17)</f>
        <v>0</v>
      </c>
      <c r="U18" t="s">
        <v>89</v>
      </c>
      <c r="V18">
        <f>SUM(V13:V16)</f>
        <v>2963.9809999999998</v>
      </c>
      <c r="X18" t="s">
        <v>10</v>
      </c>
      <c r="Y18">
        <f>P13*0.025*SUM(Y14:Y17)</f>
        <v>0</v>
      </c>
    </row>
    <row r="19" spans="1:34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  <c r="R19" s="2"/>
      <c r="S19" s="2"/>
      <c r="X19" s="2"/>
      <c r="Y19" s="2"/>
    </row>
    <row r="20" spans="1:34" x14ac:dyDescent="0.25">
      <c r="C20" t="s">
        <v>74</v>
      </c>
      <c r="F20">
        <v>1000</v>
      </c>
      <c r="J20">
        <f>D83</f>
        <v>0</v>
      </c>
      <c r="K20">
        <f>E83</f>
        <v>35</v>
      </c>
      <c r="L20">
        <f>F83*(1+0.25*B37)</f>
        <v>1250</v>
      </c>
      <c r="M20">
        <f>G83</f>
        <v>0.75</v>
      </c>
      <c r="N20">
        <f>H83</f>
        <v>88.919429999999991</v>
      </c>
      <c r="R20" t="s">
        <v>90</v>
      </c>
      <c r="S20">
        <f>SUM(S13:S19)</f>
        <v>80.5625</v>
      </c>
      <c r="X20" t="s">
        <v>96</v>
      </c>
      <c r="Y20">
        <f>SUM(Y13:Y19)</f>
        <v>97.787499999999994</v>
      </c>
      <c r="AD20" t="s">
        <v>301</v>
      </c>
    </row>
    <row r="21" spans="1:34" x14ac:dyDescent="0.25">
      <c r="B21">
        <v>1</v>
      </c>
      <c r="C21" t="s">
        <v>117</v>
      </c>
      <c r="F21">
        <v>850</v>
      </c>
      <c r="H21">
        <f>V18*0.03</f>
        <v>88.919429999999991</v>
      </c>
    </row>
    <row r="22" spans="1:34" x14ac:dyDescent="0.25">
      <c r="C22" t="s">
        <v>75</v>
      </c>
      <c r="F22">
        <v>700</v>
      </c>
      <c r="R22" t="s">
        <v>98</v>
      </c>
      <c r="S22" t="s">
        <v>99</v>
      </c>
      <c r="U22" t="s">
        <v>100</v>
      </c>
      <c r="V22" t="s">
        <v>101</v>
      </c>
      <c r="W22">
        <v>4.1900000000000004</v>
      </c>
      <c r="X22">
        <v>5.3</v>
      </c>
      <c r="Y22" t="s">
        <v>118</v>
      </c>
      <c r="AB22" t="s">
        <v>298</v>
      </c>
      <c r="AD22" t="s">
        <v>299</v>
      </c>
      <c r="AF22" t="s">
        <v>300</v>
      </c>
      <c r="AH22" t="s">
        <v>302</v>
      </c>
    </row>
    <row r="23" spans="1:34" x14ac:dyDescent="0.25">
      <c r="C23" t="s">
        <v>80</v>
      </c>
      <c r="F23">
        <v>650</v>
      </c>
      <c r="P23" s="2" t="s">
        <v>97</v>
      </c>
      <c r="R23">
        <v>0</v>
      </c>
      <c r="S23">
        <v>0.06</v>
      </c>
      <c r="U23">
        <f>$S$20*(1-S23)-R23</f>
        <v>75.728749999999991</v>
      </c>
      <c r="V23">
        <f>$V$18*(100+U23)/100</f>
        <v>5208.5667615374996</v>
      </c>
      <c r="W23">
        <v>20715.592674699998</v>
      </c>
      <c r="X23">
        <v>16960</v>
      </c>
      <c r="Y23">
        <f>($V$18+$B$30*(50+10*$C$4))*(100+U23)/100</f>
        <v>5524.8785115374994</v>
      </c>
      <c r="Z23">
        <f>Y23/W23</f>
        <v>0.26670144553889819</v>
      </c>
      <c r="AB23">
        <f>Y23/0.7</f>
        <v>7892.6835879107139</v>
      </c>
      <c r="AD23">
        <f>0.7*U23-30</f>
        <v>23.010124999999988</v>
      </c>
      <c r="AF23">
        <f>100/70*(100+U23)-100</f>
        <v>151.04107142857143</v>
      </c>
      <c r="AH23">
        <f>AF23-U23</f>
        <v>75.312321428571437</v>
      </c>
    </row>
    <row r="24" spans="1:34" x14ac:dyDescent="0.25">
      <c r="A24">
        <v>1</v>
      </c>
      <c r="C24" t="s">
        <v>76</v>
      </c>
      <c r="D24">
        <v>70</v>
      </c>
      <c r="F24">
        <v>500</v>
      </c>
      <c r="J24" s="2"/>
      <c r="K24" s="2" t="s">
        <v>42</v>
      </c>
      <c r="R24">
        <v>0</v>
      </c>
      <c r="S24">
        <v>0.38900000000000001</v>
      </c>
      <c r="U24">
        <f>$S$20*(1-S24)-R24</f>
        <v>49.223687499999997</v>
      </c>
      <c r="V24">
        <f>$V$18*(100+U24)/100</f>
        <v>4422.9617449993739</v>
      </c>
      <c r="Y24">
        <f>($V$18+$B$30*(50+10*$C$4))*(100+U24)/100</f>
        <v>4691.564382499374</v>
      </c>
      <c r="AB24">
        <f>Y24/0.7</f>
        <v>6702.2348321419631</v>
      </c>
      <c r="AD24">
        <f>0.7*U24-30</f>
        <v>4.4565812499999922</v>
      </c>
      <c r="AF24">
        <f>100/70*(100+U24)-100</f>
        <v>113.1766964285714</v>
      </c>
      <c r="AH24">
        <f>AF24-U24</f>
        <v>63.953008928571407</v>
      </c>
    </row>
    <row r="25" spans="1:34" x14ac:dyDescent="0.25">
      <c r="C25" t="s">
        <v>83</v>
      </c>
      <c r="F25">
        <v>500</v>
      </c>
      <c r="G25">
        <v>1</v>
      </c>
      <c r="K25" t="s">
        <v>346</v>
      </c>
      <c r="M25">
        <f>K95</f>
        <v>108.90122222222223</v>
      </c>
      <c r="R25">
        <v>20</v>
      </c>
      <c r="S25">
        <v>0.06</v>
      </c>
      <c r="U25">
        <f>$S$20*(1-S25)-R25</f>
        <v>55.728749999999991</v>
      </c>
      <c r="V25">
        <f>$V$18*(100+U25)/100</f>
        <v>4615.7705615374989</v>
      </c>
      <c r="Y25">
        <f>($V$18+$B$30*(50+10*$C$4))*(100+U25)/100</f>
        <v>4896.0823115374988</v>
      </c>
      <c r="AB25">
        <f>Y25/0.7</f>
        <v>6994.4033021964269</v>
      </c>
      <c r="AD25">
        <f>0.7*U25-30</f>
        <v>9.0101249999999879</v>
      </c>
      <c r="AF25">
        <f>100/70*(100+U25)-100</f>
        <v>122.46964285714284</v>
      </c>
      <c r="AH25">
        <f>AF25-U25</f>
        <v>66.740892857142853</v>
      </c>
    </row>
    <row r="26" spans="1:34" x14ac:dyDescent="0.25">
      <c r="C26" t="s">
        <v>229</v>
      </c>
      <c r="F26">
        <v>500</v>
      </c>
      <c r="K26" t="s">
        <v>25</v>
      </c>
      <c r="M26">
        <f>F8</f>
        <v>128.90122222222223</v>
      </c>
      <c r="R26">
        <v>20</v>
      </c>
      <c r="S26">
        <v>0.38900000000000001</v>
      </c>
      <c r="U26">
        <f>$S$20*(1-S26)-R26</f>
        <v>29.223687499999997</v>
      </c>
      <c r="V26">
        <f>$V$18*(100+U26)/100</f>
        <v>3830.1655449993741</v>
      </c>
      <c r="Y26">
        <f>($V$18+$B$30*(50+10*$C$4))*(100+U26)/100</f>
        <v>4062.7681824993742</v>
      </c>
      <c r="AB26">
        <f>Y26/0.7</f>
        <v>5803.954546427678</v>
      </c>
      <c r="AD26">
        <f>0.7*U26-30</f>
        <v>-9.5434187500000043</v>
      </c>
      <c r="AF26">
        <f>100/70*(100+U26)-100</f>
        <v>84.605267857142849</v>
      </c>
      <c r="AH26">
        <f>AF26-U26</f>
        <v>55.381580357142852</v>
      </c>
    </row>
    <row r="27" spans="1:34" x14ac:dyDescent="0.25">
      <c r="A27">
        <v>1</v>
      </c>
      <c r="C27" t="s">
        <v>77</v>
      </c>
      <c r="D27">
        <v>45</v>
      </c>
      <c r="F27">
        <v>450</v>
      </c>
      <c r="K27" t="s">
        <v>33</v>
      </c>
      <c r="M27">
        <f>F14</f>
        <v>120</v>
      </c>
      <c r="R27">
        <v>10</v>
      </c>
      <c r="S27">
        <f>1-(1*0.94*0.65*0.75)</f>
        <v>0.54174999999999995</v>
      </c>
      <c r="U27">
        <f>$S$20*(1-S27)-R27</f>
        <v>26.917765625000001</v>
      </c>
      <c r="V27">
        <f>$V$18*(100+U27)/100</f>
        <v>3761.8184587495307</v>
      </c>
      <c r="W27">
        <v>12376.585678916252</v>
      </c>
      <c r="Y27">
        <f>($V$18+$B$30*(50+10*$C$4))*(100+U27)/100</f>
        <v>3990.2704368745308</v>
      </c>
      <c r="Z27">
        <f>Y27/W27</f>
        <v>0.32240478435599829</v>
      </c>
      <c r="AB27">
        <f>Y27/0.7</f>
        <v>5700.3863383921871</v>
      </c>
      <c r="AD27">
        <f>0.7*U27-30</f>
        <v>-11.157564062500001</v>
      </c>
      <c r="AF27">
        <f>100/70*(100+U27)-100</f>
        <v>81.311093749999998</v>
      </c>
      <c r="AH27">
        <f>AF27-U27</f>
        <v>54.393328124999996</v>
      </c>
    </row>
    <row r="28" spans="1:34" x14ac:dyDescent="0.25">
      <c r="A28">
        <v>1</v>
      </c>
      <c r="C28" t="s">
        <v>78</v>
      </c>
      <c r="E28">
        <v>55</v>
      </c>
      <c r="F28">
        <v>450</v>
      </c>
      <c r="G28">
        <v>1</v>
      </c>
      <c r="K28" s="3" t="s">
        <v>323</v>
      </c>
      <c r="M28">
        <f>2*M8*B99</f>
        <v>0</v>
      </c>
    </row>
    <row r="29" spans="1:34" x14ac:dyDescent="0.25">
      <c r="A29">
        <v>1</v>
      </c>
      <c r="C29" t="s">
        <v>79</v>
      </c>
      <c r="E29">
        <v>55</v>
      </c>
      <c r="F29">
        <v>400</v>
      </c>
      <c r="G29">
        <v>1</v>
      </c>
      <c r="K29" s="3" t="s">
        <v>356</v>
      </c>
      <c r="M29">
        <f>K95*B107</f>
        <v>0</v>
      </c>
    </row>
    <row r="30" spans="1:34" x14ac:dyDescent="0.25">
      <c r="A30">
        <v>1</v>
      </c>
      <c r="B30">
        <v>1</v>
      </c>
      <c r="C30" t="s">
        <v>81</v>
      </c>
      <c r="E30">
        <v>35</v>
      </c>
      <c r="F30">
        <v>400</v>
      </c>
      <c r="G30">
        <v>0.75</v>
      </c>
      <c r="K30" t="s">
        <v>347</v>
      </c>
      <c r="M30">
        <f>2*M25+M26+M27</f>
        <v>466.70366666666666</v>
      </c>
    </row>
    <row r="31" spans="1:34" x14ac:dyDescent="0.25">
      <c r="C31" t="s">
        <v>82</v>
      </c>
      <c r="F31">
        <v>400</v>
      </c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  <c r="X31">
        <v>5.3</v>
      </c>
      <c r="AD31" t="s">
        <v>299</v>
      </c>
      <c r="AF31" t="s">
        <v>300</v>
      </c>
      <c r="AH31" t="s">
        <v>302</v>
      </c>
    </row>
    <row r="32" spans="1:34" x14ac:dyDescent="0.25">
      <c r="C32" t="s">
        <v>84</v>
      </c>
      <c r="F32">
        <v>380</v>
      </c>
      <c r="K32" s="2" t="s">
        <v>348</v>
      </c>
      <c r="M32">
        <v>1</v>
      </c>
      <c r="R32">
        <v>0</v>
      </c>
      <c r="S32">
        <v>0.06</v>
      </c>
      <c r="U32">
        <f t="shared" ref="U32:U37" si="1">$Y$20*(1-S32)-R32</f>
        <v>91.920249999999996</v>
      </c>
      <c r="V32">
        <f t="shared" ref="V32:V37" si="2">$V$18*(100+U32)/100</f>
        <v>5688.4797451524992</v>
      </c>
      <c r="W32">
        <v>11332.5147474</v>
      </c>
      <c r="X32">
        <v>14352</v>
      </c>
      <c r="Y32">
        <f t="shared" ref="Y32:Y37" si="3">($V$18+$B$30*(50+10*$C$4))*(100+U32)/100</f>
        <v>6033.9361951524997</v>
      </c>
      <c r="Z32">
        <f>Y32/W32</f>
        <v>0.53244459236524311</v>
      </c>
      <c r="AB32">
        <f t="shared" ref="AB32:AB37" si="4">Y32/0.7</f>
        <v>8619.9088502178565</v>
      </c>
      <c r="AD32">
        <f t="shared" ref="AD32:AD37" si="5">0.7*U32-30</f>
        <v>34.344174999999993</v>
      </c>
      <c r="AF32">
        <f t="shared" ref="AF32:AF37" si="6">100/70*(100+U32)-100</f>
        <v>174.17178571428576</v>
      </c>
      <c r="AH32">
        <f t="shared" ref="AH32:AH37" si="7">AF32-U32</f>
        <v>82.251535714285765</v>
      </c>
    </row>
    <row r="33" spans="1:34" x14ac:dyDescent="0.25">
      <c r="C33" t="s">
        <v>278</v>
      </c>
      <c r="D33">
        <v>50</v>
      </c>
      <c r="F33">
        <v>300</v>
      </c>
      <c r="G33">
        <v>1</v>
      </c>
      <c r="K33" t="s">
        <v>349</v>
      </c>
      <c r="M33">
        <v>0.06</v>
      </c>
      <c r="R33">
        <v>0</v>
      </c>
      <c r="S33">
        <v>0.38900000000000001</v>
      </c>
      <c r="U33">
        <f t="shared" si="1"/>
        <v>59.748162499999992</v>
      </c>
      <c r="V33">
        <f t="shared" si="2"/>
        <v>4734.9051843491234</v>
      </c>
      <c r="Y33">
        <f t="shared" si="3"/>
        <v>5022.4518768491243</v>
      </c>
      <c r="AB33">
        <f t="shared" si="4"/>
        <v>7174.931252641607</v>
      </c>
      <c r="AD33">
        <f t="shared" si="5"/>
        <v>11.823713749999989</v>
      </c>
      <c r="AF33">
        <f t="shared" si="6"/>
        <v>128.2116607142857</v>
      </c>
      <c r="AH33">
        <f t="shared" si="7"/>
        <v>68.463498214285707</v>
      </c>
    </row>
    <row r="34" spans="1:34" x14ac:dyDescent="0.25">
      <c r="C34" t="s">
        <v>59</v>
      </c>
      <c r="F34">
        <v>250</v>
      </c>
      <c r="K34" t="s">
        <v>350</v>
      </c>
      <c r="M34">
        <f>0.25*B103</f>
        <v>0</v>
      </c>
      <c r="R34">
        <v>15</v>
      </c>
      <c r="S34">
        <v>0.06</v>
      </c>
      <c r="U34">
        <f t="shared" si="1"/>
        <v>76.920249999999996</v>
      </c>
      <c r="V34">
        <f t="shared" si="2"/>
        <v>5243.8825951524996</v>
      </c>
      <c r="Y34">
        <f t="shared" si="3"/>
        <v>5562.3390451525001</v>
      </c>
      <c r="AB34">
        <f t="shared" si="4"/>
        <v>7946.1986359321436</v>
      </c>
      <c r="AD34">
        <f t="shared" si="5"/>
        <v>23.844174999999993</v>
      </c>
      <c r="AF34">
        <f t="shared" si="6"/>
        <v>152.74321428571432</v>
      </c>
      <c r="AH34">
        <f t="shared" si="7"/>
        <v>75.82296428571432</v>
      </c>
    </row>
    <row r="35" spans="1:34" x14ac:dyDescent="0.25">
      <c r="C35" t="s">
        <v>240</v>
      </c>
      <c r="E35">
        <v>40</v>
      </c>
      <c r="F35">
        <v>200</v>
      </c>
      <c r="K35" t="s">
        <v>351</v>
      </c>
      <c r="M35">
        <f>0.35*B91</f>
        <v>0</v>
      </c>
      <c r="R35">
        <v>15</v>
      </c>
      <c r="S35">
        <v>0.38900000000000001</v>
      </c>
      <c r="U35">
        <f t="shared" si="1"/>
        <v>44.748162499999992</v>
      </c>
      <c r="V35">
        <f t="shared" si="2"/>
        <v>4290.3080343491238</v>
      </c>
      <c r="Y35">
        <f t="shared" si="3"/>
        <v>4550.8547268491238</v>
      </c>
      <c r="AB35">
        <f t="shared" si="4"/>
        <v>6501.2210383558913</v>
      </c>
      <c r="AD35">
        <f t="shared" si="5"/>
        <v>1.3237137499999925</v>
      </c>
      <c r="AF35">
        <f t="shared" si="6"/>
        <v>106.78308928571425</v>
      </c>
      <c r="AH35">
        <f t="shared" si="7"/>
        <v>62.034926785714262</v>
      </c>
    </row>
    <row r="36" spans="1:34" x14ac:dyDescent="0.25">
      <c r="C36" t="s">
        <v>107</v>
      </c>
      <c r="F36">
        <v>150</v>
      </c>
      <c r="K36" t="s">
        <v>352</v>
      </c>
      <c r="M36">
        <f>(1-M33)*(1-M34)*(1-M35)</f>
        <v>0.94</v>
      </c>
      <c r="R36">
        <v>30</v>
      </c>
      <c r="S36">
        <v>0.06</v>
      </c>
      <c r="U36">
        <f t="shared" si="1"/>
        <v>61.920249999999996</v>
      </c>
      <c r="V36">
        <f t="shared" si="2"/>
        <v>4799.2854451525</v>
      </c>
      <c r="Y36">
        <f t="shared" si="3"/>
        <v>5090.7418951524996</v>
      </c>
      <c r="AB36">
        <f t="shared" si="4"/>
        <v>7272.4884216464288</v>
      </c>
      <c r="AD36">
        <f t="shared" si="5"/>
        <v>13.344174999999993</v>
      </c>
      <c r="AF36">
        <f t="shared" si="6"/>
        <v>131.31464285714287</v>
      </c>
      <c r="AH36">
        <f t="shared" si="7"/>
        <v>69.394392857142876</v>
      </c>
    </row>
    <row r="37" spans="1:34" x14ac:dyDescent="0.25">
      <c r="C37" t="s">
        <v>85</v>
      </c>
      <c r="F37">
        <v>300</v>
      </c>
      <c r="I37">
        <f>(V14+V16+V15)*0.25</f>
        <v>342.82024999999999</v>
      </c>
      <c r="K37" t="s">
        <v>354</v>
      </c>
      <c r="M37">
        <v>19.2</v>
      </c>
      <c r="R37">
        <v>30</v>
      </c>
      <c r="S37">
        <v>0.38900000000000001</v>
      </c>
      <c r="U37">
        <f t="shared" si="1"/>
        <v>29.748162499999992</v>
      </c>
      <c r="V37">
        <f t="shared" si="2"/>
        <v>3845.7108843491237</v>
      </c>
      <c r="W37">
        <v>7642.2235858100003</v>
      </c>
      <c r="Y37">
        <f t="shared" si="3"/>
        <v>4079.2575768491242</v>
      </c>
      <c r="Z37">
        <f>Y37/W37</f>
        <v>0.53377888399175422</v>
      </c>
      <c r="AB37">
        <f t="shared" si="4"/>
        <v>5827.5108240701775</v>
      </c>
      <c r="AD37">
        <f t="shared" si="5"/>
        <v>-9.1762862500000075</v>
      </c>
      <c r="AF37">
        <f t="shared" si="6"/>
        <v>85.354517857142838</v>
      </c>
      <c r="AH37">
        <f t="shared" si="7"/>
        <v>55.606355357142846</v>
      </c>
    </row>
    <row r="38" spans="1:34" x14ac:dyDescent="0.25">
      <c r="C38" t="s">
        <v>115</v>
      </c>
      <c r="F38">
        <v>80</v>
      </c>
      <c r="H38">
        <v>6</v>
      </c>
      <c r="K38" t="s">
        <v>355</v>
      </c>
      <c r="M38">
        <f>10*B103+20*B97+10*B102</f>
        <v>0</v>
      </c>
    </row>
    <row r="39" spans="1:34" x14ac:dyDescent="0.25">
      <c r="C39" t="s">
        <v>106</v>
      </c>
      <c r="D39">
        <v>100</v>
      </c>
      <c r="K39" s="2" t="s">
        <v>353</v>
      </c>
      <c r="M39">
        <f>M30*100/(100+M44*M36-IF(M44*M36&gt;M37,M37,M44*M36))</f>
        <v>128.63937890481441</v>
      </c>
      <c r="X39">
        <v>15700</v>
      </c>
      <c r="AA39" t="s">
        <v>285</v>
      </c>
    </row>
    <row r="40" spans="1:34" x14ac:dyDescent="0.25">
      <c r="C40" t="s">
        <v>105</v>
      </c>
      <c r="D40">
        <v>100</v>
      </c>
      <c r="X40">
        <v>14750</v>
      </c>
    </row>
    <row r="41" spans="1:34" x14ac:dyDescent="0.25">
      <c r="C41" t="s">
        <v>113</v>
      </c>
      <c r="D41">
        <v>50</v>
      </c>
      <c r="L41" t="s">
        <v>220</v>
      </c>
      <c r="M41">
        <v>2000</v>
      </c>
      <c r="Q41" t="s">
        <v>226</v>
      </c>
      <c r="R41">
        <v>10</v>
      </c>
    </row>
    <row r="42" spans="1:34" x14ac:dyDescent="0.25">
      <c r="C42" t="s">
        <v>297</v>
      </c>
      <c r="D42">
        <v>40</v>
      </c>
      <c r="G42">
        <v>1</v>
      </c>
      <c r="L42" t="s">
        <v>221</v>
      </c>
      <c r="M42">
        <v>2200</v>
      </c>
      <c r="Q42" t="s">
        <v>227</v>
      </c>
      <c r="R42">
        <f>5+1.67/18*B2*9</f>
        <v>5</v>
      </c>
    </row>
    <row r="43" spans="1:34" x14ac:dyDescent="0.25">
      <c r="C43" t="s">
        <v>108</v>
      </c>
      <c r="D43">
        <v>40</v>
      </c>
      <c r="L43" t="s">
        <v>89</v>
      </c>
      <c r="M43">
        <v>4400</v>
      </c>
      <c r="Q43" t="s">
        <v>228</v>
      </c>
      <c r="R43">
        <v>40</v>
      </c>
    </row>
    <row r="44" spans="1:34" x14ac:dyDescent="0.25">
      <c r="A44">
        <v>1</v>
      </c>
      <c r="C44" t="s">
        <v>109</v>
      </c>
      <c r="D44">
        <v>25</v>
      </c>
      <c r="L44" t="s">
        <v>277</v>
      </c>
      <c r="M44">
        <v>300</v>
      </c>
    </row>
    <row r="45" spans="1:34" x14ac:dyDescent="0.25">
      <c r="C45" t="s">
        <v>114</v>
      </c>
      <c r="D45">
        <v>15</v>
      </c>
    </row>
    <row r="46" spans="1:34" x14ac:dyDescent="0.25">
      <c r="C46" t="s">
        <v>116</v>
      </c>
      <c r="E46">
        <v>50</v>
      </c>
      <c r="M46" t="s">
        <v>218</v>
      </c>
      <c r="N46" t="s">
        <v>268</v>
      </c>
      <c r="O46" t="s">
        <v>269</v>
      </c>
      <c r="T46" s="2" t="s">
        <v>309</v>
      </c>
    </row>
    <row r="47" spans="1:34" x14ac:dyDescent="0.25">
      <c r="C47" t="s">
        <v>127</v>
      </c>
      <c r="E47">
        <f>3/18*6*C4</f>
        <v>13</v>
      </c>
      <c r="L47" t="s">
        <v>25</v>
      </c>
      <c r="M47">
        <f>F8</f>
        <v>128.90122222222223</v>
      </c>
      <c r="N47">
        <f>16-2*C8</f>
        <v>14</v>
      </c>
      <c r="O47">
        <f>(1-0.01*$R$43)*N47</f>
        <v>8.4</v>
      </c>
      <c r="T47" s="3" t="s">
        <v>305</v>
      </c>
      <c r="U47" s="3"/>
      <c r="V47" s="3">
        <v>5000</v>
      </c>
      <c r="X47" t="s">
        <v>307</v>
      </c>
      <c r="Z47">
        <f>V49*175</f>
        <v>525</v>
      </c>
    </row>
    <row r="48" spans="1:34" x14ac:dyDescent="0.25">
      <c r="C48" t="s">
        <v>119</v>
      </c>
      <c r="D48">
        <v>2</v>
      </c>
      <c r="E48">
        <v>0.9</v>
      </c>
      <c r="F48">
        <v>129</v>
      </c>
      <c r="T48" s="3" t="s">
        <v>304</v>
      </c>
      <c r="U48" s="3"/>
      <c r="V48" s="3">
        <v>120</v>
      </c>
      <c r="X48" t="s">
        <v>308</v>
      </c>
      <c r="Z48">
        <f>1/(4-0.5*V49)</f>
        <v>0.4</v>
      </c>
    </row>
    <row r="49" spans="3:22" x14ac:dyDescent="0.25">
      <c r="C49" t="s">
        <v>110</v>
      </c>
      <c r="E49">
        <v>25</v>
      </c>
      <c r="T49" s="3" t="s">
        <v>306</v>
      </c>
      <c r="U49" s="3"/>
      <c r="V49" s="3">
        <v>3</v>
      </c>
    </row>
    <row r="50" spans="3:22" x14ac:dyDescent="0.25">
      <c r="L50" t="s">
        <v>29</v>
      </c>
      <c r="M50">
        <f>F11</f>
        <v>75</v>
      </c>
      <c r="N50">
        <v>15</v>
      </c>
      <c r="O50">
        <f>(1-0.01*$R$43)*N50</f>
        <v>9</v>
      </c>
    </row>
    <row r="51" spans="3:22" x14ac:dyDescent="0.25">
      <c r="T51" s="2" t="s">
        <v>303</v>
      </c>
      <c r="U51" s="2"/>
      <c r="V51" s="2">
        <f>(Z47/V47+Z48)/((100+V48)/100+Z48)</f>
        <v>0.19423076923076923</v>
      </c>
    </row>
    <row r="52" spans="3:22" x14ac:dyDescent="0.25">
      <c r="C52" s="2" t="s">
        <v>72</v>
      </c>
    </row>
    <row r="53" spans="3:22" x14ac:dyDescent="0.25">
      <c r="D53">
        <f>D20*$B20</f>
        <v>0</v>
      </c>
      <c r="E53">
        <f>E20*$B20</f>
        <v>0</v>
      </c>
      <c r="F53">
        <f>F20*$B20</f>
        <v>0</v>
      </c>
      <c r="G53">
        <f>G20*$B20</f>
        <v>0</v>
      </c>
      <c r="H53">
        <f>H20*$B20</f>
        <v>0</v>
      </c>
      <c r="L53" t="s">
        <v>33</v>
      </c>
      <c r="M53">
        <f>F14</f>
        <v>120</v>
      </c>
      <c r="N53">
        <v>8</v>
      </c>
      <c r="O53">
        <f>(1-0.01*$R$43)*N53</f>
        <v>4.8</v>
      </c>
    </row>
    <row r="54" spans="3:22" x14ac:dyDescent="0.25">
      <c r="D54">
        <f t="shared" ref="D54:H69" si="8">D21*$B21</f>
        <v>0</v>
      </c>
      <c r="E54">
        <f t="shared" si="8"/>
        <v>0</v>
      </c>
      <c r="F54">
        <f t="shared" si="8"/>
        <v>850</v>
      </c>
      <c r="G54">
        <f t="shared" si="8"/>
        <v>0</v>
      </c>
      <c r="H54">
        <f t="shared" si="8"/>
        <v>88.919429999999991</v>
      </c>
    </row>
    <row r="55" spans="3:22" x14ac:dyDescent="0.25">
      <c r="D55">
        <f t="shared" si="8"/>
        <v>0</v>
      </c>
      <c r="E55">
        <f t="shared" si="8"/>
        <v>0</v>
      </c>
      <c r="F55">
        <f t="shared" si="8"/>
        <v>0</v>
      </c>
      <c r="G55">
        <f t="shared" si="8"/>
        <v>0</v>
      </c>
      <c r="H55">
        <f t="shared" si="8"/>
        <v>0</v>
      </c>
    </row>
    <row r="56" spans="3:22" x14ac:dyDescent="0.25">
      <c r="D56">
        <f t="shared" si="8"/>
        <v>0</v>
      </c>
      <c r="E56">
        <f t="shared" si="8"/>
        <v>0</v>
      </c>
      <c r="F56">
        <f t="shared" si="8"/>
        <v>0</v>
      </c>
      <c r="G56">
        <f t="shared" si="8"/>
        <v>0</v>
      </c>
      <c r="H56">
        <f t="shared" si="8"/>
        <v>0</v>
      </c>
      <c r="L56" t="s">
        <v>385</v>
      </c>
      <c r="O56">
        <f>M50+M47+M53+S10+2*M8*B99+V13*0.5*0.08*B96</f>
        <v>432.80244444444452</v>
      </c>
    </row>
    <row r="57" spans="3:22" x14ac:dyDescent="0.25">
      <c r="D57">
        <f t="shared" si="8"/>
        <v>0</v>
      </c>
      <c r="E57">
        <f t="shared" si="8"/>
        <v>0</v>
      </c>
      <c r="F57">
        <f t="shared" si="8"/>
        <v>0</v>
      </c>
      <c r="G57">
        <f t="shared" si="8"/>
        <v>0</v>
      </c>
      <c r="H57">
        <f t="shared" si="8"/>
        <v>0</v>
      </c>
      <c r="T57" t="s">
        <v>316</v>
      </c>
    </row>
    <row r="58" spans="3:22" x14ac:dyDescent="0.25">
      <c r="D58">
        <f t="shared" si="8"/>
        <v>0</v>
      </c>
      <c r="E58">
        <f t="shared" si="8"/>
        <v>0</v>
      </c>
      <c r="F58">
        <f t="shared" si="8"/>
        <v>0</v>
      </c>
      <c r="G58">
        <f t="shared" si="8"/>
        <v>0</v>
      </c>
      <c r="H58">
        <f t="shared" si="8"/>
        <v>0</v>
      </c>
      <c r="T58">
        <v>50</v>
      </c>
    </row>
    <row r="59" spans="3:22" x14ac:dyDescent="0.25">
      <c r="D59">
        <f t="shared" si="8"/>
        <v>0</v>
      </c>
      <c r="E59">
        <f t="shared" si="8"/>
        <v>0</v>
      </c>
      <c r="F59">
        <f t="shared" si="8"/>
        <v>0</v>
      </c>
      <c r="G59">
        <f t="shared" si="8"/>
        <v>0</v>
      </c>
      <c r="H59">
        <f t="shared" si="8"/>
        <v>0</v>
      </c>
    </row>
    <row r="60" spans="3:22" x14ac:dyDescent="0.25">
      <c r="D60">
        <f t="shared" si="8"/>
        <v>0</v>
      </c>
      <c r="E60">
        <f t="shared" si="8"/>
        <v>0</v>
      </c>
      <c r="F60">
        <f t="shared" si="8"/>
        <v>0</v>
      </c>
      <c r="G60">
        <f t="shared" si="8"/>
        <v>0</v>
      </c>
      <c r="H60">
        <f t="shared" si="8"/>
        <v>0</v>
      </c>
      <c r="T60" t="s">
        <v>317</v>
      </c>
    </row>
    <row r="61" spans="3:22" x14ac:dyDescent="0.25">
      <c r="D61">
        <f t="shared" si="8"/>
        <v>0</v>
      </c>
      <c r="E61">
        <f t="shared" si="8"/>
        <v>0</v>
      </c>
      <c r="F61">
        <f t="shared" si="8"/>
        <v>0</v>
      </c>
      <c r="G61">
        <f t="shared" si="8"/>
        <v>0</v>
      </c>
      <c r="H61">
        <f t="shared" si="8"/>
        <v>0</v>
      </c>
      <c r="T61">
        <v>0.06</v>
      </c>
    </row>
    <row r="62" spans="3:22" x14ac:dyDescent="0.25">
      <c r="D62">
        <f t="shared" si="8"/>
        <v>0</v>
      </c>
      <c r="E62">
        <f t="shared" si="8"/>
        <v>0</v>
      </c>
      <c r="F62">
        <f t="shared" si="8"/>
        <v>0</v>
      </c>
      <c r="G62">
        <f t="shared" si="8"/>
        <v>0</v>
      </c>
      <c r="H62">
        <f t="shared" si="8"/>
        <v>0</v>
      </c>
      <c r="M62" t="s">
        <v>287</v>
      </c>
      <c r="N62" t="s">
        <v>133</v>
      </c>
    </row>
    <row r="63" spans="3:22" x14ac:dyDescent="0.25">
      <c r="D63">
        <f t="shared" si="8"/>
        <v>0</v>
      </c>
      <c r="E63">
        <f t="shared" si="8"/>
        <v>35</v>
      </c>
      <c r="F63">
        <f t="shared" si="8"/>
        <v>400</v>
      </c>
      <c r="G63">
        <f t="shared" si="8"/>
        <v>0.75</v>
      </c>
      <c r="H63">
        <f t="shared" si="8"/>
        <v>0</v>
      </c>
      <c r="L63" t="s">
        <v>222</v>
      </c>
      <c r="M63">
        <f>M47+M66</f>
        <v>128.90122222222223</v>
      </c>
      <c r="N63">
        <f>M63/(O47+4.5)</f>
        <v>9.9923428079242029</v>
      </c>
      <c r="T63" t="s">
        <v>318</v>
      </c>
      <c r="V63">
        <f>100/(100+T58)</f>
        <v>0.66666666666666663</v>
      </c>
    </row>
    <row r="64" spans="3:22" x14ac:dyDescent="0.25">
      <c r="D64">
        <f t="shared" si="8"/>
        <v>0</v>
      </c>
      <c r="E64">
        <f t="shared" si="8"/>
        <v>0</v>
      </c>
      <c r="F64">
        <f t="shared" si="8"/>
        <v>0</v>
      </c>
      <c r="G64">
        <f t="shared" si="8"/>
        <v>0</v>
      </c>
      <c r="H64">
        <f t="shared" si="8"/>
        <v>0</v>
      </c>
      <c r="L64" t="s">
        <v>223</v>
      </c>
      <c r="M64">
        <f>M50</f>
        <v>75</v>
      </c>
      <c r="N64">
        <f>M64*AA10</f>
        <v>81.81495000000001</v>
      </c>
      <c r="T64" t="s">
        <v>319</v>
      </c>
      <c r="V64">
        <f>100/(100+T58*(1-T61))</f>
        <v>0.68027210884353739</v>
      </c>
    </row>
    <row r="65" spans="4:22" x14ac:dyDescent="0.25">
      <c r="D65">
        <f t="shared" si="8"/>
        <v>0</v>
      </c>
      <c r="E65">
        <f t="shared" si="8"/>
        <v>0</v>
      </c>
      <c r="F65">
        <f t="shared" si="8"/>
        <v>0</v>
      </c>
      <c r="G65">
        <f t="shared" si="8"/>
        <v>0</v>
      </c>
      <c r="H65">
        <f t="shared" si="8"/>
        <v>0</v>
      </c>
      <c r="L65" t="s">
        <v>224</v>
      </c>
      <c r="M65">
        <f>M53</f>
        <v>120</v>
      </c>
      <c r="N65">
        <f>M65/(O53+3)</f>
        <v>15.384615384615385</v>
      </c>
      <c r="T65" t="s">
        <v>320</v>
      </c>
      <c r="V65">
        <f>(V64-V63)/V64</f>
        <v>2.0000000000000021E-2</v>
      </c>
    </row>
    <row r="66" spans="4:22" x14ac:dyDescent="0.25">
      <c r="D66">
        <f t="shared" si="8"/>
        <v>0</v>
      </c>
      <c r="E66">
        <f t="shared" si="8"/>
        <v>0</v>
      </c>
      <c r="F66">
        <f t="shared" si="8"/>
        <v>0</v>
      </c>
      <c r="G66">
        <f t="shared" si="8"/>
        <v>0</v>
      </c>
      <c r="H66">
        <f t="shared" si="8"/>
        <v>0</v>
      </c>
      <c r="L66" t="s">
        <v>294</v>
      </c>
    </row>
    <row r="67" spans="4:22" x14ac:dyDescent="0.25">
      <c r="D67">
        <f t="shared" si="8"/>
        <v>0</v>
      </c>
      <c r="E67">
        <f t="shared" si="8"/>
        <v>0</v>
      </c>
      <c r="F67">
        <f t="shared" si="8"/>
        <v>0</v>
      </c>
      <c r="G67">
        <f t="shared" si="8"/>
        <v>0</v>
      </c>
      <c r="H67">
        <f t="shared" si="8"/>
        <v>0</v>
      </c>
      <c r="L67" t="s">
        <v>233</v>
      </c>
      <c r="M67">
        <f>SUM(M63:M65)</f>
        <v>323.90122222222226</v>
      </c>
      <c r="N67">
        <f>SUM(N63:N65)</f>
        <v>107.1919081925396</v>
      </c>
    </row>
    <row r="68" spans="4:22" x14ac:dyDescent="0.25">
      <c r="D68">
        <f t="shared" si="8"/>
        <v>0</v>
      </c>
      <c r="E68">
        <f t="shared" si="8"/>
        <v>0</v>
      </c>
      <c r="F68">
        <f t="shared" si="8"/>
        <v>0</v>
      </c>
      <c r="G68">
        <f t="shared" si="8"/>
        <v>0</v>
      </c>
      <c r="H68">
        <f t="shared" si="8"/>
        <v>0</v>
      </c>
      <c r="L68" t="s">
        <v>239</v>
      </c>
      <c r="N68">
        <f>B37*(24+1.5*C4)+B27*(25+C4)</f>
        <v>0</v>
      </c>
    </row>
    <row r="69" spans="4:22" x14ac:dyDescent="0.25">
      <c r="D69">
        <f t="shared" si="8"/>
        <v>0</v>
      </c>
      <c r="E69">
        <f t="shared" si="8"/>
        <v>0</v>
      </c>
      <c r="F69">
        <f t="shared" si="8"/>
        <v>0</v>
      </c>
      <c r="G69">
        <f t="shared" si="8"/>
        <v>0</v>
      </c>
      <c r="H69">
        <f t="shared" si="8"/>
        <v>0</v>
      </c>
      <c r="L69" t="s">
        <v>329</v>
      </c>
      <c r="N69">
        <f>M8*2/1.5*B99</f>
        <v>0</v>
      </c>
    </row>
    <row r="70" spans="4:22" x14ac:dyDescent="0.25">
      <c r="D70">
        <f t="shared" ref="D70:H82" si="9">D37*$B37</f>
        <v>0</v>
      </c>
      <c r="E70">
        <f t="shared" si="9"/>
        <v>0</v>
      </c>
      <c r="F70">
        <f t="shared" si="9"/>
        <v>0</v>
      </c>
      <c r="G70">
        <f t="shared" si="9"/>
        <v>0</v>
      </c>
      <c r="H70">
        <f t="shared" si="9"/>
        <v>0</v>
      </c>
      <c r="L70" t="s">
        <v>330</v>
      </c>
      <c r="N70">
        <f>B96*160*AA10</f>
        <v>0</v>
      </c>
      <c r="R70" s="2"/>
    </row>
    <row r="71" spans="4:22" x14ac:dyDescent="0.25">
      <c r="D71">
        <f t="shared" si="9"/>
        <v>0</v>
      </c>
      <c r="E71">
        <f t="shared" si="9"/>
        <v>0</v>
      </c>
      <c r="F71">
        <f t="shared" si="9"/>
        <v>0</v>
      </c>
      <c r="G71">
        <f t="shared" si="9"/>
        <v>0</v>
      </c>
      <c r="H71">
        <f t="shared" si="9"/>
        <v>0</v>
      </c>
      <c r="L71" t="s">
        <v>232</v>
      </c>
      <c r="N71">
        <f>K99</f>
        <v>118.79664068066668</v>
      </c>
    </row>
    <row r="72" spans="4:22" x14ac:dyDescent="0.25">
      <c r="D72">
        <f t="shared" si="9"/>
        <v>0</v>
      </c>
      <c r="E72">
        <f t="shared" si="9"/>
        <v>0</v>
      </c>
      <c r="F72">
        <f t="shared" si="9"/>
        <v>0</v>
      </c>
      <c r="G72">
        <f t="shared" si="9"/>
        <v>0</v>
      </c>
      <c r="H72">
        <f t="shared" si="9"/>
        <v>0</v>
      </c>
      <c r="L72" t="s">
        <v>234</v>
      </c>
      <c r="N72" s="2">
        <f>N71+N67+N68+N69</f>
        <v>225.9885488732063</v>
      </c>
    </row>
    <row r="73" spans="4:22" x14ac:dyDescent="0.25">
      <c r="D73">
        <f t="shared" si="9"/>
        <v>0</v>
      </c>
      <c r="E73">
        <f t="shared" si="9"/>
        <v>0</v>
      </c>
      <c r="F73">
        <f t="shared" si="9"/>
        <v>0</v>
      </c>
      <c r="G73">
        <f t="shared" si="9"/>
        <v>0</v>
      </c>
      <c r="H73">
        <f t="shared" si="9"/>
        <v>0</v>
      </c>
    </row>
    <row r="74" spans="4:22" x14ac:dyDescent="0.25">
      <c r="D74">
        <f t="shared" si="9"/>
        <v>0</v>
      </c>
      <c r="E74">
        <f t="shared" si="9"/>
        <v>0</v>
      </c>
      <c r="F74">
        <f t="shared" si="9"/>
        <v>0</v>
      </c>
      <c r="G74">
        <f t="shared" si="9"/>
        <v>0</v>
      </c>
      <c r="H74">
        <f t="shared" si="9"/>
        <v>0</v>
      </c>
    </row>
    <row r="75" spans="4:22" x14ac:dyDescent="0.25">
      <c r="D75">
        <f t="shared" si="9"/>
        <v>0</v>
      </c>
      <c r="E75">
        <f t="shared" si="9"/>
        <v>0</v>
      </c>
      <c r="F75">
        <f t="shared" si="9"/>
        <v>0</v>
      </c>
      <c r="G75">
        <f t="shared" si="9"/>
        <v>0</v>
      </c>
      <c r="H75">
        <f t="shared" si="9"/>
        <v>0</v>
      </c>
    </row>
    <row r="76" spans="4:22" x14ac:dyDescent="0.25">
      <c r="D76">
        <f t="shared" si="9"/>
        <v>0</v>
      </c>
      <c r="E76">
        <f t="shared" si="9"/>
        <v>0</v>
      </c>
      <c r="F76">
        <f t="shared" si="9"/>
        <v>0</v>
      </c>
      <c r="G76">
        <f t="shared" si="9"/>
        <v>0</v>
      </c>
      <c r="H76">
        <f t="shared" si="9"/>
        <v>0</v>
      </c>
    </row>
    <row r="77" spans="4:22" x14ac:dyDescent="0.25">
      <c r="D77">
        <f t="shared" si="9"/>
        <v>0</v>
      </c>
      <c r="E77">
        <f t="shared" si="9"/>
        <v>0</v>
      </c>
      <c r="F77">
        <f t="shared" si="9"/>
        <v>0</v>
      </c>
      <c r="G77">
        <f t="shared" si="9"/>
        <v>0</v>
      </c>
      <c r="H77">
        <f t="shared" si="9"/>
        <v>0</v>
      </c>
    </row>
    <row r="78" spans="4:22" x14ac:dyDescent="0.25">
      <c r="D78">
        <f t="shared" si="9"/>
        <v>0</v>
      </c>
      <c r="E78">
        <f t="shared" si="9"/>
        <v>0</v>
      </c>
      <c r="F78">
        <f t="shared" si="9"/>
        <v>0</v>
      </c>
      <c r="G78">
        <f t="shared" si="9"/>
        <v>0</v>
      </c>
      <c r="H78">
        <f t="shared" si="9"/>
        <v>0</v>
      </c>
    </row>
    <row r="79" spans="4:22" x14ac:dyDescent="0.25">
      <c r="D79">
        <f t="shared" si="9"/>
        <v>0</v>
      </c>
      <c r="E79">
        <f t="shared" si="9"/>
        <v>0</v>
      </c>
      <c r="F79">
        <f t="shared" si="9"/>
        <v>0</v>
      </c>
      <c r="G79">
        <f t="shared" si="9"/>
        <v>0</v>
      </c>
      <c r="H79">
        <f t="shared" si="9"/>
        <v>0</v>
      </c>
    </row>
    <row r="80" spans="4:22" x14ac:dyDescent="0.25">
      <c r="D80">
        <f t="shared" si="9"/>
        <v>0</v>
      </c>
      <c r="E80">
        <f t="shared" si="9"/>
        <v>0</v>
      </c>
      <c r="F80">
        <f t="shared" si="9"/>
        <v>0</v>
      </c>
      <c r="G80">
        <f t="shared" si="9"/>
        <v>0</v>
      </c>
      <c r="H80">
        <f t="shared" si="9"/>
        <v>0</v>
      </c>
    </row>
    <row r="81" spans="2:22" x14ac:dyDescent="0.25">
      <c r="D81">
        <f t="shared" si="9"/>
        <v>0</v>
      </c>
      <c r="E81">
        <f t="shared" si="9"/>
        <v>0</v>
      </c>
      <c r="F81">
        <f t="shared" si="9"/>
        <v>0</v>
      </c>
      <c r="G81">
        <f t="shared" si="9"/>
        <v>0</v>
      </c>
      <c r="H81">
        <f t="shared" si="9"/>
        <v>0</v>
      </c>
      <c r="R81" t="s">
        <v>255</v>
      </c>
      <c r="T81" t="s">
        <v>256</v>
      </c>
      <c r="U81" t="s">
        <v>258</v>
      </c>
      <c r="V81" t="s">
        <v>259</v>
      </c>
    </row>
    <row r="82" spans="2:22" x14ac:dyDescent="0.25">
      <c r="D82">
        <f t="shared" si="9"/>
        <v>0</v>
      </c>
      <c r="E82">
        <f t="shared" si="9"/>
        <v>0</v>
      </c>
      <c r="F82">
        <f t="shared" si="9"/>
        <v>0</v>
      </c>
      <c r="G82">
        <f t="shared" si="9"/>
        <v>0</v>
      </c>
      <c r="H82">
        <f t="shared" si="9"/>
        <v>0</v>
      </c>
      <c r="R82">
        <f>S20</f>
        <v>80.5625</v>
      </c>
      <c r="S82">
        <f>100/(100+S20)</f>
        <v>0.5538248528902735</v>
      </c>
    </row>
    <row r="83" spans="2:22" x14ac:dyDescent="0.25">
      <c r="C83" s="2" t="s">
        <v>73</v>
      </c>
      <c r="D83">
        <f>SUM(D53:D82)</f>
        <v>0</v>
      </c>
      <c r="E83">
        <f>SUM(E53:E82)</f>
        <v>35</v>
      </c>
      <c r="F83">
        <f>SUM(F53:F82)</f>
        <v>1250</v>
      </c>
      <c r="G83">
        <f>SUM(G53:G82)</f>
        <v>0.75</v>
      </c>
      <c r="H83">
        <f>SUM(H53:H82)</f>
        <v>88.919429999999991</v>
      </c>
      <c r="Q83" t="s">
        <v>257</v>
      </c>
      <c r="S83">
        <f>S82*0.9</f>
        <v>0.49844236760124616</v>
      </c>
      <c r="T83">
        <f>100/S83-100</f>
        <v>100.62499999999997</v>
      </c>
      <c r="U83">
        <f>T83-R82</f>
        <v>20.062499999999972</v>
      </c>
    </row>
    <row r="84" spans="2:22" x14ac:dyDescent="0.25">
      <c r="Q84" t="s">
        <v>259</v>
      </c>
      <c r="S84">
        <f>S83*0.85</f>
        <v>0.42367601246105924</v>
      </c>
      <c r="T84">
        <f>100/S84-100</f>
        <v>136.02941176470586</v>
      </c>
      <c r="V84">
        <f>T84-T83</f>
        <v>35.404411764705884</v>
      </c>
    </row>
    <row r="87" spans="2:22" x14ac:dyDescent="0.25">
      <c r="B87" s="2" t="s">
        <v>35</v>
      </c>
      <c r="C87" s="2" t="s">
        <v>36</v>
      </c>
      <c r="D87" s="2" t="s">
        <v>37</v>
      </c>
      <c r="E87" s="2" t="s">
        <v>38</v>
      </c>
      <c r="F87" s="2" t="s">
        <v>39</v>
      </c>
      <c r="I87" s="2" t="s">
        <v>40</v>
      </c>
      <c r="J87" s="2" t="s">
        <v>37</v>
      </c>
      <c r="K87" s="2" t="s">
        <v>38</v>
      </c>
      <c r="L87" s="2" t="s">
        <v>41</v>
      </c>
    </row>
    <row r="88" spans="2:22" x14ac:dyDescent="0.25">
      <c r="C88" t="s">
        <v>43</v>
      </c>
      <c r="D88">
        <v>80</v>
      </c>
      <c r="E88">
        <v>0</v>
      </c>
      <c r="F88">
        <v>0.25</v>
      </c>
      <c r="J88">
        <f>D138</f>
        <v>0</v>
      </c>
      <c r="K88">
        <f>E138</f>
        <v>0</v>
      </c>
      <c r="L88">
        <f>F138</f>
        <v>0</v>
      </c>
    </row>
    <row r="89" spans="2:22" x14ac:dyDescent="0.25">
      <c r="C89" t="s">
        <v>44</v>
      </c>
      <c r="D89">
        <v>0</v>
      </c>
      <c r="E89">
        <v>0.5</v>
      </c>
      <c r="F89">
        <v>0.3</v>
      </c>
    </row>
    <row r="90" spans="2:22" x14ac:dyDescent="0.25">
      <c r="C90" t="s">
        <v>45</v>
      </c>
      <c r="E90">
        <v>0.4</v>
      </c>
      <c r="F90">
        <v>0.2</v>
      </c>
      <c r="I90" t="s">
        <v>12</v>
      </c>
      <c r="K90">
        <f>AA10</f>
        <v>1.0908660000000001</v>
      </c>
    </row>
    <row r="91" spans="2:22" x14ac:dyDescent="0.25">
      <c r="C91" t="s">
        <v>46</v>
      </c>
      <c r="D91">
        <v>40</v>
      </c>
      <c r="E91">
        <v>0</v>
      </c>
      <c r="F91">
        <v>0</v>
      </c>
    </row>
    <row r="92" spans="2:22" x14ac:dyDescent="0.25">
      <c r="C92" t="s">
        <v>47</v>
      </c>
      <c r="D92">
        <v>80</v>
      </c>
      <c r="E92">
        <v>0</v>
      </c>
      <c r="F92">
        <v>0</v>
      </c>
      <c r="I92" t="s">
        <v>48</v>
      </c>
      <c r="K92">
        <v>2.5</v>
      </c>
    </row>
    <row r="93" spans="2:22" x14ac:dyDescent="0.25">
      <c r="C93" t="s">
        <v>49</v>
      </c>
      <c r="D93">
        <v>80</v>
      </c>
    </row>
    <row r="94" spans="2:22" x14ac:dyDescent="0.25">
      <c r="C94" t="s">
        <v>50</v>
      </c>
      <c r="D94">
        <v>7</v>
      </c>
      <c r="I94" t="s">
        <v>51</v>
      </c>
      <c r="K94">
        <f>S10</f>
        <v>108.90122222222223</v>
      </c>
    </row>
    <row r="95" spans="2:22" x14ac:dyDescent="0.25">
      <c r="C95" t="s">
        <v>52</v>
      </c>
      <c r="D95">
        <v>25</v>
      </c>
      <c r="E95">
        <v>0.5</v>
      </c>
      <c r="I95" t="s">
        <v>53</v>
      </c>
      <c r="K95">
        <f>K94*(1+1.5*L88)</f>
        <v>108.90122222222223</v>
      </c>
    </row>
    <row r="96" spans="2:22" x14ac:dyDescent="0.25">
      <c r="C96" t="s">
        <v>54</v>
      </c>
      <c r="D96">
        <v>25</v>
      </c>
      <c r="E96">
        <v>0.4</v>
      </c>
      <c r="F96">
        <v>0</v>
      </c>
      <c r="I96" t="s">
        <v>55</v>
      </c>
      <c r="K96">
        <f>K94*IF(B88,2.5,2)</f>
        <v>217.80244444444446</v>
      </c>
    </row>
    <row r="97" spans="3:11" x14ac:dyDescent="0.25">
      <c r="C97" t="s">
        <v>56</v>
      </c>
      <c r="D97">
        <v>30</v>
      </c>
      <c r="E97">
        <v>0</v>
      </c>
      <c r="F97">
        <v>0.15</v>
      </c>
    </row>
    <row r="98" spans="3:11" x14ac:dyDescent="0.25">
      <c r="C98" t="s">
        <v>57</v>
      </c>
      <c r="E98">
        <v>0.2</v>
      </c>
      <c r="I98" t="s">
        <v>58</v>
      </c>
      <c r="K98">
        <f>S10*K90</f>
        <v>118.79664068066668</v>
      </c>
    </row>
    <row r="99" spans="3:11" x14ac:dyDescent="0.25">
      <c r="C99" t="s">
        <v>59</v>
      </c>
      <c r="D99">
        <v>30</v>
      </c>
      <c r="E99">
        <v>0.3</v>
      </c>
      <c r="F99">
        <v>0.1</v>
      </c>
      <c r="I99" t="s">
        <v>60</v>
      </c>
      <c r="K99">
        <f>K98*(1+1.5*L88)</f>
        <v>118.79664068066668</v>
      </c>
    </row>
    <row r="100" spans="3:11" x14ac:dyDescent="0.25">
      <c r="C100" t="s">
        <v>61</v>
      </c>
      <c r="D100">
        <v>20</v>
      </c>
    </row>
    <row r="101" spans="3:11" x14ac:dyDescent="0.25">
      <c r="C101" t="s">
        <v>62</v>
      </c>
      <c r="D101">
        <v>60</v>
      </c>
    </row>
    <row r="102" spans="3:11" x14ac:dyDescent="0.25">
      <c r="C102" t="s">
        <v>63</v>
      </c>
      <c r="D102">
        <v>25</v>
      </c>
    </row>
    <row r="103" spans="3:11" x14ac:dyDescent="0.25">
      <c r="C103" t="s">
        <v>64</v>
      </c>
      <c r="D103">
        <v>40</v>
      </c>
    </row>
    <row r="104" spans="3:11" x14ac:dyDescent="0.25">
      <c r="C104" t="s">
        <v>65</v>
      </c>
      <c r="D104">
        <v>25</v>
      </c>
    </row>
    <row r="105" spans="3:11" x14ac:dyDescent="0.25">
      <c r="C105" t="s">
        <v>66</v>
      </c>
      <c r="D105">
        <v>25</v>
      </c>
    </row>
    <row r="106" spans="3:11" x14ac:dyDescent="0.25">
      <c r="C106" t="s">
        <v>67</v>
      </c>
      <c r="D106">
        <v>40</v>
      </c>
    </row>
    <row r="107" spans="3:11" x14ac:dyDescent="0.25">
      <c r="C107" t="s">
        <v>68</v>
      </c>
      <c r="D107">
        <v>75</v>
      </c>
    </row>
    <row r="108" spans="3:11" x14ac:dyDescent="0.25">
      <c r="C108" t="s">
        <v>69</v>
      </c>
      <c r="D108">
        <v>10</v>
      </c>
    </row>
    <row r="109" spans="3:11" x14ac:dyDescent="0.25">
      <c r="C109" t="s">
        <v>70</v>
      </c>
      <c r="D109">
        <v>25</v>
      </c>
    </row>
    <row r="110" spans="3:11" x14ac:dyDescent="0.25">
      <c r="C110" t="s">
        <v>71</v>
      </c>
      <c r="D110">
        <v>50</v>
      </c>
    </row>
    <row r="114" spans="3:6" x14ac:dyDescent="0.25">
      <c r="C114" s="2" t="s">
        <v>72</v>
      </c>
    </row>
    <row r="115" spans="3:6" x14ac:dyDescent="0.25">
      <c r="D115">
        <f t="shared" ref="D115:D137" si="10">D88*B88</f>
        <v>0</v>
      </c>
      <c r="E115">
        <f t="shared" ref="E115:E137" si="11">E88*B88</f>
        <v>0</v>
      </c>
      <c r="F115">
        <f t="shared" ref="F115:F137" si="12">F88*B88</f>
        <v>0</v>
      </c>
    </row>
    <row r="116" spans="3:6" x14ac:dyDescent="0.25">
      <c r="D116">
        <f t="shared" si="10"/>
        <v>0</v>
      </c>
      <c r="E116">
        <f t="shared" si="11"/>
        <v>0</v>
      </c>
      <c r="F116">
        <f t="shared" si="12"/>
        <v>0</v>
      </c>
    </row>
    <row r="117" spans="3:6" x14ac:dyDescent="0.25">
      <c r="D117">
        <f t="shared" si="10"/>
        <v>0</v>
      </c>
      <c r="E117">
        <f t="shared" si="11"/>
        <v>0</v>
      </c>
      <c r="F117">
        <f t="shared" si="12"/>
        <v>0</v>
      </c>
    </row>
    <row r="118" spans="3:6" x14ac:dyDescent="0.25">
      <c r="D118">
        <f t="shared" si="10"/>
        <v>0</v>
      </c>
      <c r="E118">
        <f t="shared" si="11"/>
        <v>0</v>
      </c>
      <c r="F118">
        <f t="shared" si="12"/>
        <v>0</v>
      </c>
    </row>
    <row r="119" spans="3:6" x14ac:dyDescent="0.25">
      <c r="D119">
        <f t="shared" si="10"/>
        <v>0</v>
      </c>
      <c r="E119">
        <f t="shared" si="11"/>
        <v>0</v>
      </c>
      <c r="F119">
        <f t="shared" si="12"/>
        <v>0</v>
      </c>
    </row>
    <row r="120" spans="3:6" x14ac:dyDescent="0.25">
      <c r="D120">
        <f t="shared" si="10"/>
        <v>0</v>
      </c>
      <c r="E120">
        <f t="shared" si="11"/>
        <v>0</v>
      </c>
      <c r="F120">
        <f t="shared" si="12"/>
        <v>0</v>
      </c>
    </row>
    <row r="121" spans="3:6" x14ac:dyDescent="0.25">
      <c r="D121">
        <f t="shared" si="10"/>
        <v>0</v>
      </c>
      <c r="E121">
        <f t="shared" si="11"/>
        <v>0</v>
      </c>
      <c r="F121">
        <f t="shared" si="12"/>
        <v>0</v>
      </c>
    </row>
    <row r="122" spans="3:6" x14ac:dyDescent="0.25">
      <c r="D122">
        <f t="shared" si="10"/>
        <v>0</v>
      </c>
      <c r="E122">
        <f t="shared" si="11"/>
        <v>0</v>
      </c>
      <c r="F122">
        <f t="shared" si="12"/>
        <v>0</v>
      </c>
    </row>
    <row r="123" spans="3:6" x14ac:dyDescent="0.25">
      <c r="D123">
        <f t="shared" si="10"/>
        <v>0</v>
      </c>
      <c r="E123">
        <f t="shared" si="11"/>
        <v>0</v>
      </c>
      <c r="F123">
        <f t="shared" si="12"/>
        <v>0</v>
      </c>
    </row>
    <row r="124" spans="3:6" x14ac:dyDescent="0.25">
      <c r="D124">
        <f t="shared" si="10"/>
        <v>0</v>
      </c>
      <c r="E124">
        <f t="shared" si="11"/>
        <v>0</v>
      </c>
      <c r="F124">
        <f t="shared" si="12"/>
        <v>0</v>
      </c>
    </row>
    <row r="125" spans="3:6" x14ac:dyDescent="0.25">
      <c r="D125">
        <f t="shared" si="10"/>
        <v>0</v>
      </c>
      <c r="E125">
        <f t="shared" si="11"/>
        <v>0</v>
      </c>
      <c r="F125">
        <f t="shared" si="12"/>
        <v>0</v>
      </c>
    </row>
    <row r="126" spans="3:6" x14ac:dyDescent="0.25">
      <c r="D126">
        <f t="shared" si="10"/>
        <v>0</v>
      </c>
      <c r="E126">
        <f t="shared" si="11"/>
        <v>0</v>
      </c>
      <c r="F126">
        <f t="shared" si="12"/>
        <v>0</v>
      </c>
    </row>
    <row r="127" spans="3:6" x14ac:dyDescent="0.25">
      <c r="D127">
        <f t="shared" si="10"/>
        <v>0</v>
      </c>
      <c r="E127">
        <f t="shared" si="11"/>
        <v>0</v>
      </c>
      <c r="F127">
        <f t="shared" si="12"/>
        <v>0</v>
      </c>
    </row>
    <row r="128" spans="3:6" x14ac:dyDescent="0.25">
      <c r="D128">
        <f t="shared" si="10"/>
        <v>0</v>
      </c>
      <c r="E128">
        <f t="shared" si="11"/>
        <v>0</v>
      </c>
      <c r="F128">
        <f t="shared" si="12"/>
        <v>0</v>
      </c>
    </row>
    <row r="129" spans="3:6" x14ac:dyDescent="0.25">
      <c r="D129">
        <f t="shared" si="10"/>
        <v>0</v>
      </c>
      <c r="E129">
        <f t="shared" si="11"/>
        <v>0</v>
      </c>
      <c r="F129">
        <f t="shared" si="12"/>
        <v>0</v>
      </c>
    </row>
    <row r="130" spans="3:6" x14ac:dyDescent="0.25">
      <c r="D130">
        <f t="shared" si="10"/>
        <v>0</v>
      </c>
      <c r="E130">
        <f t="shared" si="11"/>
        <v>0</v>
      </c>
      <c r="F130">
        <f t="shared" si="12"/>
        <v>0</v>
      </c>
    </row>
    <row r="131" spans="3:6" x14ac:dyDescent="0.25">
      <c r="D131">
        <f t="shared" si="10"/>
        <v>0</v>
      </c>
      <c r="E131">
        <f t="shared" si="11"/>
        <v>0</v>
      </c>
      <c r="F131">
        <f t="shared" si="12"/>
        <v>0</v>
      </c>
    </row>
    <row r="132" spans="3:6" x14ac:dyDescent="0.25">
      <c r="D132">
        <f t="shared" si="10"/>
        <v>0</v>
      </c>
      <c r="E132">
        <f t="shared" si="11"/>
        <v>0</v>
      </c>
      <c r="F132">
        <f t="shared" si="12"/>
        <v>0</v>
      </c>
    </row>
    <row r="133" spans="3:6" x14ac:dyDescent="0.25">
      <c r="D133">
        <f t="shared" si="10"/>
        <v>0</v>
      </c>
      <c r="E133">
        <f t="shared" si="11"/>
        <v>0</v>
      </c>
      <c r="F133">
        <f t="shared" si="12"/>
        <v>0</v>
      </c>
    </row>
    <row r="134" spans="3:6" x14ac:dyDescent="0.25">
      <c r="D134">
        <f t="shared" si="10"/>
        <v>0</v>
      </c>
      <c r="E134">
        <f t="shared" si="11"/>
        <v>0</v>
      </c>
      <c r="F134">
        <f t="shared" si="12"/>
        <v>0</v>
      </c>
    </row>
    <row r="135" spans="3:6" x14ac:dyDescent="0.25">
      <c r="D135">
        <f t="shared" si="10"/>
        <v>0</v>
      </c>
      <c r="E135">
        <f t="shared" si="11"/>
        <v>0</v>
      </c>
      <c r="F135">
        <f t="shared" si="12"/>
        <v>0</v>
      </c>
    </row>
    <row r="136" spans="3:6" x14ac:dyDescent="0.25">
      <c r="D136">
        <f t="shared" si="10"/>
        <v>0</v>
      </c>
      <c r="E136">
        <f t="shared" si="11"/>
        <v>0</v>
      </c>
      <c r="F136">
        <f t="shared" si="12"/>
        <v>0</v>
      </c>
    </row>
    <row r="137" spans="3:6" x14ac:dyDescent="0.25">
      <c r="D137">
        <f t="shared" si="10"/>
        <v>0</v>
      </c>
      <c r="E137">
        <f t="shared" si="11"/>
        <v>0</v>
      </c>
      <c r="F137">
        <f t="shared" si="12"/>
        <v>0</v>
      </c>
    </row>
    <row r="138" spans="3:6" x14ac:dyDescent="0.25">
      <c r="C138" s="2" t="s">
        <v>73</v>
      </c>
      <c r="D138">
        <f>SUM(D115:D137)</f>
        <v>0</v>
      </c>
      <c r="E138">
        <f>SUM(E115:E137)</f>
        <v>0</v>
      </c>
      <c r="F138">
        <f>SUM(F115:F137)</f>
        <v>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AL136"/>
  <sheetViews>
    <sheetView topLeftCell="A52" zoomScaleNormal="100" workbookViewId="0">
      <selection activeCell="Q4" sqref="Q4"/>
    </sheetView>
  </sheetViews>
  <sheetFormatPr defaultRowHeight="15" x14ac:dyDescent="0.25"/>
  <cols>
    <col min="3" max="3" width="19.5703125" customWidth="1"/>
  </cols>
  <sheetData>
    <row r="3" spans="2:27" x14ac:dyDescent="0.25">
      <c r="B3" t="s">
        <v>292</v>
      </c>
      <c r="C3" t="s">
        <v>0</v>
      </c>
      <c r="H3" t="s">
        <v>1</v>
      </c>
      <c r="J3" t="s">
        <v>125</v>
      </c>
      <c r="L3" t="s">
        <v>2</v>
      </c>
      <c r="O3" s="1" t="s">
        <v>3</v>
      </c>
      <c r="Q3" t="s">
        <v>236</v>
      </c>
      <c r="R3" t="s">
        <v>4</v>
      </c>
      <c r="U3" t="s">
        <v>5</v>
      </c>
      <c r="X3" t="s">
        <v>134</v>
      </c>
      <c r="Z3" t="s">
        <v>157</v>
      </c>
    </row>
    <row r="4" spans="2:27" x14ac:dyDescent="0.25">
      <c r="B4" t="s">
        <v>6</v>
      </c>
      <c r="C4">
        <v>3</v>
      </c>
      <c r="E4" t="s">
        <v>124</v>
      </c>
      <c r="F4">
        <v>1.4750000000000001</v>
      </c>
      <c r="H4" t="s">
        <v>7</v>
      </c>
      <c r="I4">
        <v>594.6</v>
      </c>
      <c r="J4">
        <v>95</v>
      </c>
      <c r="L4" t="s">
        <v>7</v>
      </c>
      <c r="M4">
        <f>I4+J4*$F$4</f>
        <v>734.72500000000002</v>
      </c>
      <c r="O4" t="s">
        <v>9</v>
      </c>
      <c r="P4">
        <f>J86+M8</f>
        <v>65.727000000000004</v>
      </c>
      <c r="Q4">
        <v>0</v>
      </c>
      <c r="R4" t="s">
        <v>10</v>
      </c>
      <c r="S4">
        <f>Q4*(4+10/18*C4)</f>
        <v>0</v>
      </c>
      <c r="U4" t="s">
        <v>10</v>
      </c>
      <c r="V4">
        <v>0</v>
      </c>
      <c r="X4">
        <v>430</v>
      </c>
      <c r="Z4" t="s">
        <v>19</v>
      </c>
      <c r="AA4">
        <f>I9</f>
        <v>0.65800000000000003</v>
      </c>
    </row>
    <row r="5" spans="2:27" x14ac:dyDescent="0.25">
      <c r="H5" t="s">
        <v>120</v>
      </c>
      <c r="I5">
        <v>8.59</v>
      </c>
      <c r="J5">
        <v>0.8</v>
      </c>
      <c r="L5" t="s">
        <v>120</v>
      </c>
      <c r="M5">
        <f t="shared" ref="M5:M12" si="0">I5+J5*$F$4</f>
        <v>9.77</v>
      </c>
      <c r="O5" t="s">
        <v>12</v>
      </c>
      <c r="P5">
        <f>M9+I9*K86</f>
        <v>0.68226375000000006</v>
      </c>
      <c r="R5" t="s">
        <v>13</v>
      </c>
      <c r="S5">
        <v>0</v>
      </c>
      <c r="U5" t="s">
        <v>13</v>
      </c>
      <c r="V5">
        <v>0</v>
      </c>
      <c r="Z5" t="s">
        <v>168</v>
      </c>
      <c r="AA5">
        <f>F4*J9</f>
        <v>3.6875000000000005E-2</v>
      </c>
    </row>
    <row r="6" spans="2:27" x14ac:dyDescent="0.25">
      <c r="H6" t="s">
        <v>121</v>
      </c>
      <c r="L6" t="s">
        <v>121</v>
      </c>
      <c r="M6">
        <f t="shared" si="0"/>
        <v>0</v>
      </c>
      <c r="R6" t="s">
        <v>16</v>
      </c>
      <c r="S6">
        <f>J86</f>
        <v>0</v>
      </c>
      <c r="U6" t="s">
        <v>16</v>
      </c>
      <c r="V6">
        <v>0</v>
      </c>
      <c r="Z6" t="s">
        <v>10</v>
      </c>
      <c r="AA6">
        <v>0</v>
      </c>
    </row>
    <row r="7" spans="2:27" x14ac:dyDescent="0.25">
      <c r="B7" t="s">
        <v>17</v>
      </c>
      <c r="C7" t="s">
        <v>18</v>
      </c>
      <c r="D7" t="s">
        <v>19</v>
      </c>
      <c r="E7" t="s">
        <v>20</v>
      </c>
      <c r="F7" t="s">
        <v>21</v>
      </c>
      <c r="H7" t="s">
        <v>122</v>
      </c>
      <c r="L7" t="s">
        <v>122</v>
      </c>
      <c r="M7">
        <f t="shared" si="0"/>
        <v>0</v>
      </c>
      <c r="O7" t="s">
        <v>7</v>
      </c>
      <c r="P7">
        <f>M4+L20</f>
        <v>734.72500000000002</v>
      </c>
      <c r="R7" s="2"/>
      <c r="Z7" t="s">
        <v>158</v>
      </c>
      <c r="AA7">
        <v>0.28000000000000003</v>
      </c>
    </row>
    <row r="8" spans="2:27" x14ac:dyDescent="0.25">
      <c r="B8" t="s">
        <v>25</v>
      </c>
      <c r="C8">
        <v>1</v>
      </c>
      <c r="D8">
        <f>S10*(0.75+0.05*C8)</f>
        <v>52.581600000000009</v>
      </c>
      <c r="F8">
        <f>E8+D8</f>
        <v>52.581600000000009</v>
      </c>
      <c r="H8" t="s">
        <v>8</v>
      </c>
      <c r="I8">
        <v>60.712000000000003</v>
      </c>
      <c r="J8">
        <v>3.4</v>
      </c>
      <c r="L8" t="s">
        <v>8</v>
      </c>
      <c r="M8">
        <f t="shared" si="0"/>
        <v>65.727000000000004</v>
      </c>
      <c r="O8" t="s">
        <v>120</v>
      </c>
      <c r="P8">
        <f>(M5+M5*M20+N20+V17*0.01)*(1+0.2*B29)</f>
        <v>17.697667500000001</v>
      </c>
      <c r="R8" t="s">
        <v>26</v>
      </c>
      <c r="S8">
        <f>SUM(S4:S7)</f>
        <v>0</v>
      </c>
      <c r="U8" t="s">
        <v>26</v>
      </c>
      <c r="V8">
        <f>SUM(V4:V7)</f>
        <v>0</v>
      </c>
      <c r="Z8" t="s">
        <v>159</v>
      </c>
      <c r="AA8">
        <f>K86</f>
        <v>0</v>
      </c>
    </row>
    <row r="9" spans="2:27" x14ac:dyDescent="0.25">
      <c r="H9" t="s">
        <v>14</v>
      </c>
      <c r="I9">
        <v>0.65800000000000003</v>
      </c>
      <c r="J9">
        <v>2.5000000000000001E-2</v>
      </c>
      <c r="L9" t="s">
        <v>14</v>
      </c>
      <c r="M9">
        <f>I9+I9*J9*$F$4</f>
        <v>0.68226375000000006</v>
      </c>
      <c r="O9" t="s">
        <v>15</v>
      </c>
      <c r="P9">
        <f>M10+J20</f>
        <v>32.569249999999997</v>
      </c>
    </row>
    <row r="10" spans="2:27" x14ac:dyDescent="0.25">
      <c r="H10" t="s">
        <v>15</v>
      </c>
      <c r="I10">
        <v>27.628</v>
      </c>
      <c r="J10">
        <v>3.35</v>
      </c>
      <c r="L10" t="s">
        <v>15</v>
      </c>
      <c r="M10">
        <f t="shared" si="0"/>
        <v>32.569249999999997</v>
      </c>
      <c r="O10" t="s">
        <v>23</v>
      </c>
      <c r="P10">
        <f>M11+K20</f>
        <v>33.943750000000001</v>
      </c>
      <c r="R10" t="s">
        <v>31</v>
      </c>
      <c r="S10">
        <f>P4+S4+S5</f>
        <v>65.727000000000004</v>
      </c>
      <c r="U10" t="s">
        <v>32</v>
      </c>
      <c r="V10">
        <v>0</v>
      </c>
      <c r="Z10" t="s">
        <v>160</v>
      </c>
      <c r="AA10">
        <f>(1+SUM(AA5:AA8))*AA4</f>
        <v>0.86650375000000002</v>
      </c>
    </row>
    <row r="11" spans="2:27" x14ac:dyDescent="0.25">
      <c r="B11" t="s">
        <v>29</v>
      </c>
      <c r="C11">
        <v>1</v>
      </c>
      <c r="D11">
        <f>7*(5+15*C11)</f>
        <v>140</v>
      </c>
      <c r="E11">
        <f>1.4*S8</f>
        <v>0</v>
      </c>
      <c r="F11">
        <f>E11+D11</f>
        <v>140</v>
      </c>
      <c r="H11" t="s">
        <v>23</v>
      </c>
      <c r="I11">
        <v>32.1</v>
      </c>
      <c r="J11">
        <v>1.25</v>
      </c>
      <c r="L11" t="s">
        <v>23</v>
      </c>
      <c r="M11">
        <f t="shared" si="0"/>
        <v>33.943750000000001</v>
      </c>
    </row>
    <row r="12" spans="2:27" x14ac:dyDescent="0.25">
      <c r="H12" t="s">
        <v>123</v>
      </c>
      <c r="I12">
        <v>350</v>
      </c>
      <c r="L12" t="s">
        <v>123</v>
      </c>
      <c r="M12">
        <f t="shared" si="0"/>
        <v>350</v>
      </c>
      <c r="O12" t="s">
        <v>91</v>
      </c>
      <c r="R12" t="s">
        <v>86</v>
      </c>
      <c r="U12" t="s">
        <v>88</v>
      </c>
      <c r="X12" t="s">
        <v>95</v>
      </c>
    </row>
    <row r="13" spans="2:27" x14ac:dyDescent="0.25">
      <c r="O13" t="s">
        <v>92</v>
      </c>
      <c r="P13">
        <v>2</v>
      </c>
      <c r="R13" t="s">
        <v>2</v>
      </c>
      <c r="S13">
        <f>M10</f>
        <v>32.569249999999997</v>
      </c>
      <c r="U13" t="s">
        <v>2</v>
      </c>
      <c r="V13">
        <f>M4</f>
        <v>734.72500000000002</v>
      </c>
      <c r="X13" t="s">
        <v>2</v>
      </c>
      <c r="Y13">
        <f>M11</f>
        <v>33.943750000000001</v>
      </c>
    </row>
    <row r="14" spans="2:27" x14ac:dyDescent="0.25">
      <c r="B14" t="s">
        <v>33</v>
      </c>
      <c r="C14">
        <v>1</v>
      </c>
      <c r="D14">
        <f>20+40*C14</f>
        <v>60</v>
      </c>
      <c r="E14">
        <f>0.6*V10</f>
        <v>0</v>
      </c>
      <c r="F14">
        <f>E14+D14</f>
        <v>60</v>
      </c>
      <c r="O14" t="s">
        <v>93</v>
      </c>
      <c r="P14">
        <v>1</v>
      </c>
      <c r="R14" t="s">
        <v>10</v>
      </c>
      <c r="S14">
        <f>5+2*P15</f>
        <v>5</v>
      </c>
      <c r="U14" t="s">
        <v>16</v>
      </c>
      <c r="V14">
        <f>L20</f>
        <v>0</v>
      </c>
      <c r="X14" t="s">
        <v>10</v>
      </c>
      <c r="Y14">
        <f>1*P15</f>
        <v>0</v>
      </c>
    </row>
    <row r="15" spans="2:27" x14ac:dyDescent="0.25">
      <c r="O15" t="s">
        <v>94</v>
      </c>
      <c r="P15">
        <v>0</v>
      </c>
      <c r="R15" t="s">
        <v>13</v>
      </c>
      <c r="S15">
        <f>P16+P17/18*C4</f>
        <v>9</v>
      </c>
      <c r="U15" t="s">
        <v>10</v>
      </c>
      <c r="V15">
        <f>36+0.03*(V13+V14)*P14</f>
        <v>58.04175</v>
      </c>
      <c r="X15" t="s">
        <v>13</v>
      </c>
      <c r="Y15">
        <v>0</v>
      </c>
    </row>
    <row r="16" spans="2:27" x14ac:dyDescent="0.25">
      <c r="B16" t="s">
        <v>34</v>
      </c>
      <c r="C16">
        <v>0</v>
      </c>
      <c r="D16">
        <f>50+125*C16</f>
        <v>50</v>
      </c>
      <c r="E16">
        <f>0.7*V10</f>
        <v>0</v>
      </c>
      <c r="F16">
        <f>E16+D16</f>
        <v>50</v>
      </c>
      <c r="G16" t="s">
        <v>0</v>
      </c>
      <c r="N16" t="s">
        <v>158</v>
      </c>
      <c r="O16" t="s">
        <v>216</v>
      </c>
      <c r="P16">
        <v>9</v>
      </c>
      <c r="R16" t="s">
        <v>16</v>
      </c>
      <c r="S16">
        <f>J20</f>
        <v>0</v>
      </c>
      <c r="X16" t="s">
        <v>16</v>
      </c>
      <c r="Y16">
        <f>K20</f>
        <v>0</v>
      </c>
    </row>
    <row r="17" spans="1:38" x14ac:dyDescent="0.25">
      <c r="O17" t="s">
        <v>217</v>
      </c>
      <c r="P17">
        <v>0</v>
      </c>
      <c r="R17" s="2" t="s">
        <v>293</v>
      </c>
      <c r="S17" s="2">
        <f>(5+5*IF(C4&gt;5,1,0)+5*IF(C4&gt;10,1,0)+5*IF(C4&gt;15,1,0))*2</f>
        <v>10</v>
      </c>
      <c r="U17" t="s">
        <v>89</v>
      </c>
      <c r="V17">
        <f>SUM(V13:V15)</f>
        <v>792.76675</v>
      </c>
      <c r="X17" s="2" t="s">
        <v>293</v>
      </c>
      <c r="Y17">
        <f>(5+5*IF(C4&gt;5,1,0)+5*IF(C4&gt;10,1,0)+5*IF(C4&gt;15,1,0))*2</f>
        <v>10</v>
      </c>
    </row>
    <row r="18" spans="1:38" x14ac:dyDescent="0.25">
      <c r="J18" s="2" t="s">
        <v>40</v>
      </c>
      <c r="R18" t="s">
        <v>10</v>
      </c>
      <c r="S18">
        <f>P13*0.025*SUM(S14:S17)</f>
        <v>1.2000000000000002</v>
      </c>
      <c r="X18" t="s">
        <v>10</v>
      </c>
      <c r="Y18">
        <f>P13*0.025*SUM(Y14:Y17)</f>
        <v>0.5</v>
      </c>
    </row>
    <row r="19" spans="1:38" x14ac:dyDescent="0.25">
      <c r="B19" s="2" t="s">
        <v>35</v>
      </c>
      <c r="C19" s="2" t="s">
        <v>36</v>
      </c>
      <c r="D19" s="2" t="s">
        <v>15</v>
      </c>
      <c r="E19" s="2" t="s">
        <v>23</v>
      </c>
      <c r="F19" s="2" t="s">
        <v>7</v>
      </c>
      <c r="G19" s="2" t="s">
        <v>126</v>
      </c>
      <c r="H19" s="2" t="s">
        <v>120</v>
      </c>
      <c r="J19" s="2" t="s">
        <v>15</v>
      </c>
      <c r="K19" s="2" t="s">
        <v>23</v>
      </c>
      <c r="L19" s="2" t="s">
        <v>7</v>
      </c>
      <c r="M19" s="2" t="s">
        <v>126</v>
      </c>
      <c r="N19" s="2" t="s">
        <v>120</v>
      </c>
      <c r="O19" s="2"/>
    </row>
    <row r="20" spans="1:38" x14ac:dyDescent="0.25">
      <c r="C20" t="s">
        <v>74</v>
      </c>
      <c r="F20">
        <v>1000</v>
      </c>
      <c r="J20">
        <f>D81</f>
        <v>0</v>
      </c>
      <c r="K20">
        <f>E81</f>
        <v>0</v>
      </c>
      <c r="L20">
        <f>F81*(1+0.25*B37)</f>
        <v>0</v>
      </c>
      <c r="M20">
        <f>G81</f>
        <v>0</v>
      </c>
      <c r="N20">
        <f>H81</f>
        <v>0</v>
      </c>
      <c r="R20" t="s">
        <v>90</v>
      </c>
      <c r="S20">
        <f>SUM(S13:S18)</f>
        <v>57.76925</v>
      </c>
      <c r="X20" t="s">
        <v>96</v>
      </c>
      <c r="Y20">
        <f>SUM(Y13:Y18)</f>
        <v>44.443750000000001</v>
      </c>
    </row>
    <row r="21" spans="1:38" x14ac:dyDescent="0.25">
      <c r="C21" t="s">
        <v>117</v>
      </c>
      <c r="F21">
        <v>800</v>
      </c>
      <c r="H21">
        <f>V17*0.03</f>
        <v>23.783002499999998</v>
      </c>
    </row>
    <row r="22" spans="1:38" x14ac:dyDescent="0.25">
      <c r="C22" t="s">
        <v>75</v>
      </c>
      <c r="F22">
        <v>700</v>
      </c>
      <c r="R22" t="s">
        <v>98</v>
      </c>
      <c r="S22" t="s">
        <v>99</v>
      </c>
      <c r="U22" t="s">
        <v>100</v>
      </c>
      <c r="V22" t="s">
        <v>101</v>
      </c>
      <c r="W22">
        <v>4.1900000000000004</v>
      </c>
      <c r="X22">
        <v>5.3</v>
      </c>
      <c r="Y22" t="s">
        <v>118</v>
      </c>
      <c r="AB22" t="s">
        <v>280</v>
      </c>
      <c r="AD22" t="s">
        <v>279</v>
      </c>
      <c r="AF22" t="s">
        <v>281</v>
      </c>
      <c r="AH22" t="s">
        <v>282</v>
      </c>
      <c r="AJ22" t="s">
        <v>284</v>
      </c>
      <c r="AL22" t="s">
        <v>283</v>
      </c>
    </row>
    <row r="23" spans="1:38" x14ac:dyDescent="0.25">
      <c r="C23" t="s">
        <v>80</v>
      </c>
      <c r="F23">
        <v>650</v>
      </c>
      <c r="P23" s="2" t="s">
        <v>97</v>
      </c>
      <c r="R23">
        <v>0</v>
      </c>
      <c r="S23">
        <v>0.06</v>
      </c>
      <c r="U23">
        <f>$S$20*(1-S23)-R23</f>
        <v>54.303094999999999</v>
      </c>
      <c r="V23">
        <f>$V$17*(100+U23)/100</f>
        <v>1223.2636313809123</v>
      </c>
      <c r="W23">
        <v>20715.592674699998</v>
      </c>
      <c r="X23">
        <v>16960</v>
      </c>
      <c r="Y23">
        <f>($V$17+$B$30*(50+10*$C$4))*(100+U23)/100</f>
        <v>1223.2636313809123</v>
      </c>
      <c r="Z23">
        <f>Y23/W23</f>
        <v>5.9050380579981528E-2</v>
      </c>
      <c r="AB23">
        <v>17558</v>
      </c>
      <c r="AD23">
        <v>14874</v>
      </c>
      <c r="AF23">
        <v>19183</v>
      </c>
      <c r="AH23">
        <v>17037</v>
      </c>
      <c r="AJ23">
        <v>17844</v>
      </c>
      <c r="AL23">
        <v>19898</v>
      </c>
    </row>
    <row r="24" spans="1:38" x14ac:dyDescent="0.25">
      <c r="A24">
        <v>1</v>
      </c>
      <c r="C24" t="s">
        <v>76</v>
      </c>
      <c r="D24">
        <v>60</v>
      </c>
      <c r="F24">
        <v>500</v>
      </c>
      <c r="J24" s="2"/>
      <c r="L24" s="2"/>
      <c r="R24">
        <v>0</v>
      </c>
      <c r="S24">
        <v>0.38900000000000001</v>
      </c>
      <c r="U24">
        <f>$S$20*(1-S24)-R24</f>
        <v>35.297011749999996</v>
      </c>
      <c r="V24">
        <f>$V$17*(100+U24)/100</f>
        <v>1072.5897228975932</v>
      </c>
      <c r="Y24">
        <f>($V$17+$B$30*(50+10*$C$4))*(100+U24)/100</f>
        <v>1072.5897228975932</v>
      </c>
      <c r="AF24">
        <v>13865</v>
      </c>
    </row>
    <row r="25" spans="1:38" x14ac:dyDescent="0.25">
      <c r="C25" t="s">
        <v>83</v>
      </c>
      <c r="F25">
        <v>500</v>
      </c>
      <c r="G25">
        <v>1</v>
      </c>
      <c r="R25">
        <v>20</v>
      </c>
      <c r="S25">
        <v>0.06</v>
      </c>
      <c r="U25">
        <f>$S$20*(1-S25)-R25</f>
        <v>34.303094999999999</v>
      </c>
      <c r="V25">
        <f>$V$17*(100+U25)/100</f>
        <v>1064.7102813809124</v>
      </c>
      <c r="Y25">
        <f>($V$17+$B$30*(50+10*$C$4))*(100+U25)/100</f>
        <v>1064.7102813809124</v>
      </c>
    </row>
    <row r="26" spans="1:38" x14ac:dyDescent="0.25">
      <c r="C26" t="s">
        <v>229</v>
      </c>
      <c r="F26">
        <v>500</v>
      </c>
      <c r="R26">
        <v>20</v>
      </c>
      <c r="S26">
        <v>0.38900000000000001</v>
      </c>
      <c r="U26">
        <f>$S$20*(1-S26)-R26</f>
        <v>15.297011749999996</v>
      </c>
      <c r="V26">
        <f>$V$17*(100+U26)/100</f>
        <v>914.03637289759308</v>
      </c>
      <c r="Y26">
        <f>($V$17+$B$30*(50+10*$C$4))*(100+U26)/100</f>
        <v>914.03637289759308</v>
      </c>
      <c r="AB26">
        <v>12268</v>
      </c>
      <c r="AD26">
        <v>10456</v>
      </c>
      <c r="AF26">
        <v>13067</v>
      </c>
      <c r="AH26">
        <v>11842</v>
      </c>
      <c r="AJ26">
        <v>12299</v>
      </c>
      <c r="AL26">
        <v>13524</v>
      </c>
    </row>
    <row r="27" spans="1:38" x14ac:dyDescent="0.25">
      <c r="A27">
        <v>1</v>
      </c>
      <c r="C27" t="s">
        <v>77</v>
      </c>
      <c r="D27">
        <v>45</v>
      </c>
      <c r="F27">
        <v>450</v>
      </c>
      <c r="R27">
        <v>10</v>
      </c>
      <c r="S27">
        <f>1-(1*0.94*0.65*0.75)</f>
        <v>0.54174999999999995</v>
      </c>
      <c r="U27">
        <f>$S$20*(1-S27)-R27</f>
        <v>16.472758812500004</v>
      </c>
      <c r="V27">
        <f>$V$17*(100+U27)/100</f>
        <v>923.3573046731949</v>
      </c>
      <c r="W27">
        <v>12376.585678916252</v>
      </c>
      <c r="Y27">
        <f>($V$17+$B$30*(50+10*$C$4))*(100+U27)/100</f>
        <v>923.3573046731949</v>
      </c>
      <c r="Z27">
        <f>Y27/W27</f>
        <v>7.4605172107049811E-2</v>
      </c>
      <c r="AB27">
        <v>10911</v>
      </c>
      <c r="AD27">
        <v>9417</v>
      </c>
      <c r="AF27">
        <v>10998</v>
      </c>
      <c r="AH27">
        <v>10418</v>
      </c>
      <c r="AJ27">
        <v>10626</v>
      </c>
      <c r="AL27">
        <v>11324</v>
      </c>
    </row>
    <row r="28" spans="1:38" x14ac:dyDescent="0.25">
      <c r="A28">
        <v>1</v>
      </c>
      <c r="C28" t="s">
        <v>78</v>
      </c>
      <c r="E28">
        <v>55</v>
      </c>
      <c r="F28">
        <v>450</v>
      </c>
      <c r="G28">
        <v>1</v>
      </c>
    </row>
    <row r="29" spans="1:38" x14ac:dyDescent="0.25">
      <c r="A29">
        <v>1</v>
      </c>
      <c r="C29" t="s">
        <v>79</v>
      </c>
      <c r="E29">
        <v>55</v>
      </c>
      <c r="F29">
        <v>400</v>
      </c>
      <c r="G29">
        <v>1</v>
      </c>
    </row>
    <row r="30" spans="1:38" x14ac:dyDescent="0.25">
      <c r="A30">
        <v>1</v>
      </c>
      <c r="C30" t="s">
        <v>81</v>
      </c>
      <c r="E30">
        <v>40</v>
      </c>
      <c r="F30">
        <v>400</v>
      </c>
      <c r="G30">
        <v>0.75</v>
      </c>
    </row>
    <row r="31" spans="1:38" x14ac:dyDescent="0.25">
      <c r="C31" t="s">
        <v>82</v>
      </c>
      <c r="F31">
        <v>400</v>
      </c>
      <c r="L31" s="2"/>
      <c r="R31" t="s">
        <v>102</v>
      </c>
      <c r="S31" t="s">
        <v>103</v>
      </c>
      <c r="U31" t="s">
        <v>104</v>
      </c>
      <c r="V31" t="s">
        <v>101</v>
      </c>
      <c r="W31">
        <v>4.1900000000000004</v>
      </c>
      <c r="X31">
        <v>5.3</v>
      </c>
    </row>
    <row r="32" spans="1:38" x14ac:dyDescent="0.25">
      <c r="C32" t="s">
        <v>84</v>
      </c>
      <c r="F32">
        <v>380</v>
      </c>
      <c r="R32">
        <v>0</v>
      </c>
      <c r="S32">
        <v>0.06</v>
      </c>
      <c r="U32">
        <f t="shared" ref="U32:U37" si="1">$Y$20*(1-S32)-R32</f>
        <v>41.777124999999998</v>
      </c>
      <c r="V32">
        <f t="shared" ref="V32:V37" si="2">$V$17*(100+U32)/100</f>
        <v>1123.9619061059377</v>
      </c>
      <c r="W32">
        <v>11332.5147474</v>
      </c>
      <c r="X32">
        <v>14352</v>
      </c>
      <c r="Y32">
        <f t="shared" ref="Y32:Y37" si="3">($V$17+$B$30*(50+10*$C$4))*(100+U32)/100</f>
        <v>1123.9619061059377</v>
      </c>
      <c r="Z32">
        <f>Y32/W32</f>
        <v>9.9180272971963829E-2</v>
      </c>
      <c r="AB32">
        <v>13906</v>
      </c>
      <c r="AD32">
        <v>16953</v>
      </c>
      <c r="AF32">
        <v>9143</v>
      </c>
      <c r="AH32">
        <v>13757</v>
      </c>
      <c r="AJ32">
        <v>12546</v>
      </c>
      <c r="AL32">
        <v>10303</v>
      </c>
    </row>
    <row r="33" spans="1:38" x14ac:dyDescent="0.25">
      <c r="C33" t="s">
        <v>278</v>
      </c>
      <c r="D33">
        <v>50</v>
      </c>
      <c r="F33">
        <v>300</v>
      </c>
      <c r="R33">
        <v>0</v>
      </c>
      <c r="S33">
        <v>0.38900000000000001</v>
      </c>
      <c r="U33">
        <f t="shared" si="1"/>
        <v>27.15513125</v>
      </c>
      <c r="V33">
        <f t="shared" si="2"/>
        <v>1008.0436014688594</v>
      </c>
      <c r="Y33">
        <f t="shared" si="3"/>
        <v>1008.0436014688594</v>
      </c>
    </row>
    <row r="34" spans="1:38" x14ac:dyDescent="0.25">
      <c r="C34" t="s">
        <v>59</v>
      </c>
      <c r="F34">
        <v>250</v>
      </c>
      <c r="R34">
        <v>15</v>
      </c>
      <c r="S34">
        <v>0.06</v>
      </c>
      <c r="U34">
        <f t="shared" si="1"/>
        <v>26.777124999999998</v>
      </c>
      <c r="V34">
        <f t="shared" si="2"/>
        <v>1005.0468936059375</v>
      </c>
      <c r="Y34">
        <f t="shared" si="3"/>
        <v>1005.0468936059375</v>
      </c>
    </row>
    <row r="35" spans="1:38" x14ac:dyDescent="0.25">
      <c r="C35" t="s">
        <v>240</v>
      </c>
      <c r="E35">
        <v>40</v>
      </c>
      <c r="F35">
        <v>200</v>
      </c>
      <c r="R35">
        <v>15</v>
      </c>
      <c r="S35">
        <v>0.38900000000000001</v>
      </c>
      <c r="U35">
        <f t="shared" si="1"/>
        <v>12.15513125</v>
      </c>
      <c r="V35">
        <f t="shared" si="2"/>
        <v>889.12858896885939</v>
      </c>
      <c r="Y35">
        <f t="shared" si="3"/>
        <v>889.12858896885939</v>
      </c>
      <c r="AB35">
        <v>10179</v>
      </c>
      <c r="AD35">
        <v>12069</v>
      </c>
      <c r="AF35">
        <v>6741</v>
      </c>
      <c r="AH35">
        <v>9966</v>
      </c>
      <c r="AJ35">
        <v>9089</v>
      </c>
      <c r="AL35">
        <v>7484</v>
      </c>
    </row>
    <row r="36" spans="1:38" x14ac:dyDescent="0.25">
      <c r="C36" t="s">
        <v>107</v>
      </c>
      <c r="F36">
        <v>150</v>
      </c>
      <c r="R36">
        <v>30</v>
      </c>
      <c r="S36">
        <v>0.06</v>
      </c>
      <c r="U36">
        <f t="shared" si="1"/>
        <v>11.777124999999998</v>
      </c>
      <c r="V36">
        <f t="shared" si="2"/>
        <v>886.13188110593751</v>
      </c>
      <c r="Y36">
        <f t="shared" si="3"/>
        <v>886.13188110593751</v>
      </c>
    </row>
    <row r="37" spans="1:38" x14ac:dyDescent="0.25">
      <c r="C37" t="s">
        <v>85</v>
      </c>
      <c r="F37">
        <v>350</v>
      </c>
      <c r="I37">
        <f>(V14+V15)*0.25</f>
        <v>14.5104375</v>
      </c>
      <c r="R37">
        <v>30</v>
      </c>
      <c r="S37">
        <v>0.38900000000000001</v>
      </c>
      <c r="U37">
        <f t="shared" si="1"/>
        <v>-2.8448687499999998</v>
      </c>
      <c r="V37">
        <f t="shared" si="2"/>
        <v>770.2135764688594</v>
      </c>
      <c r="W37">
        <v>7642.2235858100003</v>
      </c>
      <c r="Y37">
        <f t="shared" si="3"/>
        <v>770.2135764688594</v>
      </c>
      <c r="Z37">
        <f>Y37/W37</f>
        <v>0.10078396265440125</v>
      </c>
      <c r="AB37">
        <v>9324</v>
      </c>
      <c r="AD37">
        <v>11282</v>
      </c>
      <c r="AF37">
        <v>6142</v>
      </c>
      <c r="AH37">
        <v>9198</v>
      </c>
      <c r="AJ37">
        <v>8389</v>
      </c>
      <c r="AL37">
        <v>6894</v>
      </c>
    </row>
    <row r="38" spans="1:38" x14ac:dyDescent="0.25">
      <c r="C38" t="s">
        <v>115</v>
      </c>
      <c r="F38">
        <v>80</v>
      </c>
      <c r="H38">
        <v>6</v>
      </c>
    </row>
    <row r="39" spans="1:38" x14ac:dyDescent="0.25">
      <c r="C39" t="s">
        <v>106</v>
      </c>
      <c r="D39">
        <v>100</v>
      </c>
      <c r="X39">
        <v>15700</v>
      </c>
      <c r="AA39" t="s">
        <v>285</v>
      </c>
      <c r="AB39">
        <v>14150</v>
      </c>
      <c r="AD39">
        <v>14600</v>
      </c>
      <c r="AF39">
        <v>13600</v>
      </c>
      <c r="AH39">
        <v>14450</v>
      </c>
      <c r="AJ39">
        <v>13950</v>
      </c>
      <c r="AL39">
        <v>14950</v>
      </c>
    </row>
    <row r="40" spans="1:38" x14ac:dyDescent="0.25">
      <c r="C40" t="s">
        <v>105</v>
      </c>
      <c r="D40">
        <v>100</v>
      </c>
      <c r="X40">
        <v>14750</v>
      </c>
    </row>
    <row r="41" spans="1:38" x14ac:dyDescent="0.25">
      <c r="C41" t="s">
        <v>113</v>
      </c>
      <c r="D41">
        <v>50</v>
      </c>
    </row>
    <row r="42" spans="1:38" x14ac:dyDescent="0.25">
      <c r="C42" t="s">
        <v>108</v>
      </c>
      <c r="D42">
        <v>40</v>
      </c>
      <c r="L42" t="s">
        <v>220</v>
      </c>
      <c r="M42">
        <v>2000</v>
      </c>
      <c r="Q42" t="s">
        <v>226</v>
      </c>
      <c r="R42">
        <v>10</v>
      </c>
    </row>
    <row r="43" spans="1:38" x14ac:dyDescent="0.25">
      <c r="A43">
        <v>1</v>
      </c>
      <c r="C43" t="s">
        <v>109</v>
      </c>
      <c r="D43">
        <v>25</v>
      </c>
      <c r="L43" t="s">
        <v>221</v>
      </c>
      <c r="M43">
        <v>2200</v>
      </c>
      <c r="Q43" t="s">
        <v>227</v>
      </c>
      <c r="R43">
        <f>5+1.67/18*B2*9</f>
        <v>5</v>
      </c>
    </row>
    <row r="44" spans="1:38" x14ac:dyDescent="0.25">
      <c r="C44" t="s">
        <v>114</v>
      </c>
      <c r="D44">
        <v>15</v>
      </c>
      <c r="L44" t="s">
        <v>89</v>
      </c>
      <c r="M44">
        <v>4400</v>
      </c>
      <c r="Q44" t="s">
        <v>228</v>
      </c>
      <c r="R44">
        <v>30</v>
      </c>
      <c r="W44" t="s">
        <v>244</v>
      </c>
    </row>
    <row r="45" spans="1:38" x14ac:dyDescent="0.25">
      <c r="C45" t="s">
        <v>116</v>
      </c>
      <c r="E45">
        <v>50</v>
      </c>
      <c r="W45" t="s">
        <v>241</v>
      </c>
    </row>
    <row r="46" spans="1:38" x14ac:dyDescent="0.25">
      <c r="C46" t="s">
        <v>127</v>
      </c>
      <c r="E46">
        <f>3/18*6*C4</f>
        <v>3</v>
      </c>
      <c r="M46" t="s">
        <v>218</v>
      </c>
      <c r="N46" t="s">
        <v>268</v>
      </c>
      <c r="O46" t="s">
        <v>269</v>
      </c>
      <c r="W46" t="s">
        <v>242</v>
      </c>
    </row>
    <row r="47" spans="1:38" x14ac:dyDescent="0.25">
      <c r="C47" t="s">
        <v>119</v>
      </c>
      <c r="D47">
        <v>2</v>
      </c>
      <c r="E47">
        <v>0.9</v>
      </c>
      <c r="F47">
        <v>129</v>
      </c>
      <c r="L47" t="s">
        <v>25</v>
      </c>
      <c r="M47">
        <f>F8</f>
        <v>52.581600000000009</v>
      </c>
      <c r="N47">
        <f>10-C8</f>
        <v>9</v>
      </c>
      <c r="O47">
        <f>(1-0.01*$R$44)*N47</f>
        <v>6.3</v>
      </c>
      <c r="W47" t="s">
        <v>243</v>
      </c>
    </row>
    <row r="48" spans="1:38" x14ac:dyDescent="0.25">
      <c r="C48" t="s">
        <v>110</v>
      </c>
      <c r="E48">
        <v>25</v>
      </c>
      <c r="W48" t="s">
        <v>245</v>
      </c>
    </row>
    <row r="50" spans="3:27" x14ac:dyDescent="0.25">
      <c r="L50" t="s">
        <v>29</v>
      </c>
      <c r="M50">
        <f>F11</f>
        <v>140</v>
      </c>
      <c r="N50">
        <v>12</v>
      </c>
      <c r="O50">
        <f>(1-0.01*$R$44)*N50</f>
        <v>8.3999999999999986</v>
      </c>
      <c r="W50" t="s">
        <v>246</v>
      </c>
      <c r="AA50" t="s">
        <v>251</v>
      </c>
    </row>
    <row r="51" spans="3:27" x14ac:dyDescent="0.25">
      <c r="C51" s="2" t="s">
        <v>72</v>
      </c>
      <c r="W51" t="s">
        <v>247</v>
      </c>
      <c r="AA51" t="s">
        <v>252</v>
      </c>
    </row>
    <row r="52" spans="3:27" x14ac:dyDescent="0.25">
      <c r="D52">
        <f>D20*$B20</f>
        <v>0</v>
      </c>
      <c r="E52">
        <f>E20*$B20</f>
        <v>0</v>
      </c>
      <c r="F52">
        <f>F20*$B20</f>
        <v>0</v>
      </c>
      <c r="G52">
        <f>G20*$B20</f>
        <v>0</v>
      </c>
      <c r="H52">
        <f>H20*$B20</f>
        <v>0</v>
      </c>
      <c r="W52" t="s">
        <v>248</v>
      </c>
      <c r="AA52" t="s">
        <v>253</v>
      </c>
    </row>
    <row r="53" spans="3:27" x14ac:dyDescent="0.25">
      <c r="D53">
        <f t="shared" ref="D53:H68" si="4">D21*$B21</f>
        <v>0</v>
      </c>
      <c r="E53">
        <f t="shared" si="4"/>
        <v>0</v>
      </c>
      <c r="F53">
        <f t="shared" si="4"/>
        <v>0</v>
      </c>
      <c r="G53">
        <f t="shared" si="4"/>
        <v>0</v>
      </c>
      <c r="H53">
        <f t="shared" si="4"/>
        <v>0</v>
      </c>
      <c r="L53" t="s">
        <v>33</v>
      </c>
      <c r="M53">
        <f>F14</f>
        <v>60</v>
      </c>
      <c r="N53">
        <f>13-C14</f>
        <v>12</v>
      </c>
      <c r="O53">
        <f>(1-0.01*$R$44)*N53</f>
        <v>8.3999999999999986</v>
      </c>
      <c r="W53" t="s">
        <v>249</v>
      </c>
      <c r="AA53" t="s">
        <v>249</v>
      </c>
    </row>
    <row r="54" spans="3:27" x14ac:dyDescent="0.25">
      <c r="D54">
        <f t="shared" si="4"/>
        <v>0</v>
      </c>
      <c r="E54">
        <f t="shared" si="4"/>
        <v>0</v>
      </c>
      <c r="F54">
        <f t="shared" si="4"/>
        <v>0</v>
      </c>
      <c r="G54">
        <f t="shared" si="4"/>
        <v>0</v>
      </c>
      <c r="H54">
        <f t="shared" si="4"/>
        <v>0</v>
      </c>
      <c r="W54" t="s">
        <v>250</v>
      </c>
      <c r="AA54" t="s">
        <v>254</v>
      </c>
    </row>
    <row r="55" spans="3:27" x14ac:dyDescent="0.25">
      <c r="D55">
        <f t="shared" si="4"/>
        <v>0</v>
      </c>
      <c r="E55">
        <f t="shared" si="4"/>
        <v>0</v>
      </c>
      <c r="F55">
        <f t="shared" si="4"/>
        <v>0</v>
      </c>
      <c r="G55">
        <f t="shared" si="4"/>
        <v>0</v>
      </c>
      <c r="H55">
        <f t="shared" si="4"/>
        <v>0</v>
      </c>
    </row>
    <row r="56" spans="3:27" x14ac:dyDescent="0.25">
      <c r="D56">
        <f t="shared" si="4"/>
        <v>0</v>
      </c>
      <c r="E56">
        <f t="shared" si="4"/>
        <v>0</v>
      </c>
      <c r="F56">
        <f t="shared" si="4"/>
        <v>0</v>
      </c>
      <c r="G56">
        <f t="shared" si="4"/>
        <v>0</v>
      </c>
      <c r="H56">
        <f t="shared" si="4"/>
        <v>0</v>
      </c>
    </row>
    <row r="57" spans="3:27" x14ac:dyDescent="0.25">
      <c r="D57">
        <f t="shared" si="4"/>
        <v>0</v>
      </c>
      <c r="E57">
        <f t="shared" si="4"/>
        <v>0</v>
      </c>
      <c r="F57">
        <f t="shared" si="4"/>
        <v>0</v>
      </c>
      <c r="G57">
        <f t="shared" si="4"/>
        <v>0</v>
      </c>
      <c r="H57">
        <f t="shared" si="4"/>
        <v>0</v>
      </c>
    </row>
    <row r="58" spans="3:27" x14ac:dyDescent="0.25">
      <c r="D58">
        <f t="shared" si="4"/>
        <v>0</v>
      </c>
      <c r="E58">
        <f t="shared" si="4"/>
        <v>0</v>
      </c>
      <c r="F58">
        <f t="shared" si="4"/>
        <v>0</v>
      </c>
      <c r="G58">
        <f t="shared" si="4"/>
        <v>0</v>
      </c>
      <c r="H58">
        <f t="shared" si="4"/>
        <v>0</v>
      </c>
    </row>
    <row r="59" spans="3:27" x14ac:dyDescent="0.25">
      <c r="D59">
        <f t="shared" si="4"/>
        <v>0</v>
      </c>
      <c r="E59">
        <f t="shared" si="4"/>
        <v>0</v>
      </c>
      <c r="F59">
        <f t="shared" si="4"/>
        <v>0</v>
      </c>
      <c r="G59">
        <f t="shared" si="4"/>
        <v>0</v>
      </c>
      <c r="H59">
        <f t="shared" si="4"/>
        <v>0</v>
      </c>
    </row>
    <row r="60" spans="3:27" x14ac:dyDescent="0.25">
      <c r="D60">
        <f t="shared" si="4"/>
        <v>0</v>
      </c>
      <c r="E60">
        <f t="shared" si="4"/>
        <v>0</v>
      </c>
      <c r="F60">
        <f t="shared" si="4"/>
        <v>0</v>
      </c>
      <c r="G60">
        <f t="shared" si="4"/>
        <v>0</v>
      </c>
      <c r="H60">
        <f t="shared" si="4"/>
        <v>0</v>
      </c>
    </row>
    <row r="61" spans="3:27" x14ac:dyDescent="0.25">
      <c r="D61">
        <f t="shared" si="4"/>
        <v>0</v>
      </c>
      <c r="E61">
        <f t="shared" si="4"/>
        <v>0</v>
      </c>
      <c r="F61">
        <f t="shared" si="4"/>
        <v>0</v>
      </c>
      <c r="G61">
        <f t="shared" si="4"/>
        <v>0</v>
      </c>
      <c r="H61">
        <f t="shared" si="4"/>
        <v>0</v>
      </c>
    </row>
    <row r="62" spans="3:27" x14ac:dyDescent="0.25">
      <c r="D62">
        <f t="shared" si="4"/>
        <v>0</v>
      </c>
      <c r="E62">
        <f t="shared" si="4"/>
        <v>0</v>
      </c>
      <c r="F62">
        <f t="shared" si="4"/>
        <v>0</v>
      </c>
      <c r="G62">
        <f t="shared" si="4"/>
        <v>0</v>
      </c>
      <c r="H62">
        <f t="shared" si="4"/>
        <v>0</v>
      </c>
      <c r="M62" t="s">
        <v>287</v>
      </c>
      <c r="N62" t="s">
        <v>133</v>
      </c>
    </row>
    <row r="63" spans="3:27" x14ac:dyDescent="0.25">
      <c r="D63">
        <f t="shared" si="4"/>
        <v>0</v>
      </c>
      <c r="E63">
        <f t="shared" si="4"/>
        <v>0</v>
      </c>
      <c r="F63">
        <f t="shared" si="4"/>
        <v>0</v>
      </c>
      <c r="G63">
        <f t="shared" si="4"/>
        <v>0</v>
      </c>
      <c r="H63">
        <f t="shared" si="4"/>
        <v>0</v>
      </c>
      <c r="L63" t="s">
        <v>222</v>
      </c>
      <c r="M63">
        <f>M47+2*M66</f>
        <v>152.58160000000001</v>
      </c>
      <c r="N63">
        <f>M63/(O47-1)</f>
        <v>28.788981132075474</v>
      </c>
    </row>
    <row r="64" spans="3:27" x14ac:dyDescent="0.25">
      <c r="D64">
        <f t="shared" si="4"/>
        <v>0</v>
      </c>
      <c r="E64">
        <f t="shared" si="4"/>
        <v>0</v>
      </c>
      <c r="F64">
        <f t="shared" si="4"/>
        <v>0</v>
      </c>
      <c r="G64">
        <f t="shared" si="4"/>
        <v>0</v>
      </c>
      <c r="H64">
        <f t="shared" si="4"/>
        <v>0</v>
      </c>
      <c r="L64" t="s">
        <v>223</v>
      </c>
      <c r="M64">
        <f>M50</f>
        <v>140</v>
      </c>
      <c r="N64">
        <f>M64/O50</f>
        <v>16.666666666666668</v>
      </c>
    </row>
    <row r="65" spans="4:18" x14ac:dyDescent="0.25">
      <c r="D65">
        <f t="shared" si="4"/>
        <v>0</v>
      </c>
      <c r="E65">
        <f t="shared" si="4"/>
        <v>0</v>
      </c>
      <c r="F65">
        <f t="shared" si="4"/>
        <v>0</v>
      </c>
      <c r="G65">
        <f t="shared" si="4"/>
        <v>0</v>
      </c>
      <c r="H65">
        <f t="shared" si="4"/>
        <v>0</v>
      </c>
      <c r="L65" t="s">
        <v>224</v>
      </c>
      <c r="M65">
        <f>M53</f>
        <v>60</v>
      </c>
      <c r="N65">
        <f>M65/O53</f>
        <v>7.1428571428571441</v>
      </c>
    </row>
    <row r="66" spans="4:18" x14ac:dyDescent="0.25">
      <c r="D66">
        <f t="shared" si="4"/>
        <v>0</v>
      </c>
      <c r="E66">
        <f t="shared" si="4"/>
        <v>0</v>
      </c>
      <c r="F66">
        <f t="shared" si="4"/>
        <v>0</v>
      </c>
      <c r="G66">
        <f t="shared" si="4"/>
        <v>0</v>
      </c>
      <c r="H66">
        <f t="shared" si="4"/>
        <v>0</v>
      </c>
      <c r="L66" t="s">
        <v>294</v>
      </c>
      <c r="M66">
        <f>M42*0.025</f>
        <v>50</v>
      </c>
      <c r="N66">
        <f>M66*AA10</f>
        <v>43.325187499999998</v>
      </c>
    </row>
    <row r="67" spans="4:18" x14ac:dyDescent="0.25">
      <c r="D67">
        <f t="shared" si="4"/>
        <v>0</v>
      </c>
      <c r="E67">
        <f t="shared" si="4"/>
        <v>0</v>
      </c>
      <c r="F67">
        <f t="shared" si="4"/>
        <v>0</v>
      </c>
      <c r="G67">
        <f t="shared" si="4"/>
        <v>0</v>
      </c>
      <c r="H67">
        <f t="shared" si="4"/>
        <v>0</v>
      </c>
      <c r="L67" t="s">
        <v>233</v>
      </c>
      <c r="M67">
        <f>SUM(M63:M65)</f>
        <v>352.58159999999998</v>
      </c>
      <c r="N67">
        <f>SUM(N63:N65)</f>
        <v>52.598504941599288</v>
      </c>
    </row>
    <row r="68" spans="4:18" x14ac:dyDescent="0.25">
      <c r="D68">
        <f t="shared" si="4"/>
        <v>0</v>
      </c>
      <c r="E68">
        <f t="shared" si="4"/>
        <v>0</v>
      </c>
      <c r="F68">
        <f t="shared" si="4"/>
        <v>0</v>
      </c>
      <c r="G68">
        <f t="shared" si="4"/>
        <v>0</v>
      </c>
      <c r="H68">
        <f t="shared" si="4"/>
        <v>0</v>
      </c>
      <c r="L68" t="s">
        <v>239</v>
      </c>
      <c r="N68">
        <f>B37*(24+1.5*C4)+B27*(25+C4)</f>
        <v>0</v>
      </c>
    </row>
    <row r="69" spans="4:18" x14ac:dyDescent="0.25">
      <c r="D69">
        <f t="shared" ref="D69:H80" si="5">D37*$B37</f>
        <v>0</v>
      </c>
      <c r="E69">
        <f t="shared" si="5"/>
        <v>0</v>
      </c>
      <c r="F69">
        <f t="shared" si="5"/>
        <v>0</v>
      </c>
      <c r="G69">
        <f t="shared" si="5"/>
        <v>0</v>
      </c>
      <c r="H69">
        <f t="shared" si="5"/>
        <v>0</v>
      </c>
      <c r="L69" t="s">
        <v>232</v>
      </c>
      <c r="N69">
        <f>K97</f>
        <v>56.952691976250001</v>
      </c>
    </row>
    <row r="70" spans="4:18" x14ac:dyDescent="0.25">
      <c r="D70">
        <f t="shared" si="5"/>
        <v>0</v>
      </c>
      <c r="E70">
        <f t="shared" si="5"/>
        <v>0</v>
      </c>
      <c r="F70">
        <f t="shared" si="5"/>
        <v>0</v>
      </c>
      <c r="G70">
        <f t="shared" si="5"/>
        <v>0</v>
      </c>
      <c r="H70">
        <f t="shared" si="5"/>
        <v>0</v>
      </c>
      <c r="L70" t="s">
        <v>234</v>
      </c>
      <c r="N70" s="2">
        <f>N69+N67+N68</f>
        <v>109.5511969178493</v>
      </c>
      <c r="O70">
        <v>434.25</v>
      </c>
      <c r="R70" s="2"/>
    </row>
    <row r="71" spans="4:18" x14ac:dyDescent="0.25">
      <c r="D71">
        <f t="shared" si="5"/>
        <v>0</v>
      </c>
      <c r="E71">
        <f t="shared" si="5"/>
        <v>0</v>
      </c>
      <c r="F71">
        <f t="shared" si="5"/>
        <v>0</v>
      </c>
      <c r="G71">
        <f t="shared" si="5"/>
        <v>0</v>
      </c>
      <c r="H71">
        <f t="shared" si="5"/>
        <v>0</v>
      </c>
    </row>
    <row r="72" spans="4:18" x14ac:dyDescent="0.25">
      <c r="D72">
        <f t="shared" si="5"/>
        <v>0</v>
      </c>
      <c r="E72">
        <f t="shared" si="5"/>
        <v>0</v>
      </c>
      <c r="F72">
        <f t="shared" si="5"/>
        <v>0</v>
      </c>
      <c r="G72">
        <f t="shared" si="5"/>
        <v>0</v>
      </c>
      <c r="H72">
        <f t="shared" si="5"/>
        <v>0</v>
      </c>
      <c r="L72" t="s">
        <v>321</v>
      </c>
      <c r="N72">
        <f>N64</f>
        <v>16.666666666666668</v>
      </c>
    </row>
    <row r="73" spans="4:18" x14ac:dyDescent="0.25">
      <c r="D73">
        <f t="shared" si="5"/>
        <v>0</v>
      </c>
      <c r="E73">
        <f t="shared" si="5"/>
        <v>0</v>
      </c>
      <c r="F73">
        <f t="shared" si="5"/>
        <v>0</v>
      </c>
      <c r="G73">
        <f t="shared" si="5"/>
        <v>0</v>
      </c>
      <c r="H73">
        <f t="shared" si="5"/>
        <v>0</v>
      </c>
      <c r="L73" t="s">
        <v>322</v>
      </c>
      <c r="N73" s="2">
        <f>N72+N70</f>
        <v>126.21786358451597</v>
      </c>
      <c r="O73">
        <v>514.75</v>
      </c>
    </row>
    <row r="74" spans="4:18" x14ac:dyDescent="0.25">
      <c r="D74">
        <f t="shared" si="5"/>
        <v>0</v>
      </c>
      <c r="E74">
        <f t="shared" si="5"/>
        <v>0</v>
      </c>
      <c r="F74">
        <f t="shared" si="5"/>
        <v>0</v>
      </c>
      <c r="G74">
        <f t="shared" si="5"/>
        <v>0</v>
      </c>
      <c r="H74">
        <f t="shared" si="5"/>
        <v>0</v>
      </c>
    </row>
    <row r="75" spans="4:18" x14ac:dyDescent="0.25">
      <c r="D75">
        <f t="shared" si="5"/>
        <v>0</v>
      </c>
      <c r="E75">
        <f t="shared" si="5"/>
        <v>0</v>
      </c>
      <c r="F75">
        <f t="shared" si="5"/>
        <v>0</v>
      </c>
      <c r="G75">
        <f t="shared" si="5"/>
        <v>0</v>
      </c>
      <c r="H75">
        <f t="shared" si="5"/>
        <v>0</v>
      </c>
    </row>
    <row r="76" spans="4:18" x14ac:dyDescent="0.25">
      <c r="D76">
        <f t="shared" si="5"/>
        <v>0</v>
      </c>
      <c r="E76">
        <f t="shared" si="5"/>
        <v>0</v>
      </c>
      <c r="F76">
        <f t="shared" si="5"/>
        <v>0</v>
      </c>
      <c r="G76">
        <f t="shared" si="5"/>
        <v>0</v>
      </c>
      <c r="H76">
        <f t="shared" si="5"/>
        <v>0</v>
      </c>
    </row>
    <row r="77" spans="4:18" x14ac:dyDescent="0.25">
      <c r="D77">
        <f t="shared" si="5"/>
        <v>0</v>
      </c>
      <c r="E77">
        <f t="shared" si="5"/>
        <v>0</v>
      </c>
      <c r="F77">
        <f t="shared" si="5"/>
        <v>0</v>
      </c>
      <c r="G77">
        <f t="shared" si="5"/>
        <v>0</v>
      </c>
      <c r="H77">
        <f t="shared" si="5"/>
        <v>0</v>
      </c>
    </row>
    <row r="78" spans="4:18" x14ac:dyDescent="0.25">
      <c r="D78">
        <f t="shared" si="5"/>
        <v>0</v>
      </c>
      <c r="E78">
        <f t="shared" si="5"/>
        <v>0</v>
      </c>
      <c r="F78">
        <f t="shared" si="5"/>
        <v>0</v>
      </c>
      <c r="G78">
        <f t="shared" si="5"/>
        <v>0</v>
      </c>
      <c r="H78">
        <f t="shared" si="5"/>
        <v>0</v>
      </c>
    </row>
    <row r="79" spans="4:18" x14ac:dyDescent="0.25">
      <c r="D79">
        <f t="shared" si="5"/>
        <v>0</v>
      </c>
      <c r="E79">
        <f t="shared" si="5"/>
        <v>0</v>
      </c>
      <c r="F79">
        <f t="shared" si="5"/>
        <v>0</v>
      </c>
      <c r="G79">
        <f t="shared" si="5"/>
        <v>0</v>
      </c>
      <c r="H79">
        <f t="shared" si="5"/>
        <v>0</v>
      </c>
    </row>
    <row r="80" spans="4:18" x14ac:dyDescent="0.25">
      <c r="D80">
        <f t="shared" si="5"/>
        <v>0</v>
      </c>
      <c r="E80">
        <f t="shared" si="5"/>
        <v>0</v>
      </c>
      <c r="F80">
        <f t="shared" si="5"/>
        <v>0</v>
      </c>
      <c r="G80">
        <f t="shared" si="5"/>
        <v>0</v>
      </c>
      <c r="H80">
        <f t="shared" si="5"/>
        <v>0</v>
      </c>
    </row>
    <row r="81" spans="2:22" x14ac:dyDescent="0.25">
      <c r="C81" s="2" t="s">
        <v>73</v>
      </c>
      <c r="D81">
        <f>SUM(D52:D80)</f>
        <v>0</v>
      </c>
      <c r="E81">
        <f>SUM(E52:E80)</f>
        <v>0</v>
      </c>
      <c r="F81">
        <f>SUM(F52:F80)</f>
        <v>0</v>
      </c>
      <c r="G81">
        <f>SUM(G52:G80)</f>
        <v>0</v>
      </c>
      <c r="H81">
        <f>SUM(H52:H80)</f>
        <v>0</v>
      </c>
      <c r="R81" t="s">
        <v>255</v>
      </c>
      <c r="T81" t="s">
        <v>256</v>
      </c>
      <c r="U81" t="s">
        <v>258</v>
      </c>
      <c r="V81" t="s">
        <v>259</v>
      </c>
    </row>
    <row r="82" spans="2:22" x14ac:dyDescent="0.25">
      <c r="R82">
        <f>S20</f>
        <v>57.76925</v>
      </c>
      <c r="S82">
        <f>100/(100+S20)</f>
        <v>0.63383707534896694</v>
      </c>
    </row>
    <row r="83" spans="2:22" x14ac:dyDescent="0.25">
      <c r="Q83" t="s">
        <v>257</v>
      </c>
      <c r="S83">
        <f>S82*0.9</f>
        <v>0.5704533678140703</v>
      </c>
      <c r="T83">
        <f>100/S83-100</f>
        <v>75.29916666666665</v>
      </c>
      <c r="U83">
        <f>T83-R82</f>
        <v>17.529916666666651</v>
      </c>
    </row>
    <row r="84" spans="2:22" x14ac:dyDescent="0.25">
      <c r="L84" s="2" t="s">
        <v>41</v>
      </c>
      <c r="Q84" t="s">
        <v>259</v>
      </c>
      <c r="S84">
        <f>S83*0.85</f>
        <v>0.48488536264195975</v>
      </c>
      <c r="T84">
        <f>100/S84-100</f>
        <v>106.23431372549018</v>
      </c>
      <c r="V84">
        <f>T84-T83</f>
        <v>30.935147058823532</v>
      </c>
    </row>
    <row r="85" spans="2:22" x14ac:dyDescent="0.25">
      <c r="B85" s="2" t="s">
        <v>35</v>
      </c>
      <c r="C85" s="2" t="s">
        <v>36</v>
      </c>
      <c r="D85" s="2" t="s">
        <v>37</v>
      </c>
      <c r="E85" s="2" t="s">
        <v>38</v>
      </c>
      <c r="F85" s="2" t="s">
        <v>39</v>
      </c>
      <c r="I85" s="2" t="s">
        <v>40</v>
      </c>
      <c r="J85" s="2" t="s">
        <v>37</v>
      </c>
      <c r="K85" s="2" t="s">
        <v>38</v>
      </c>
      <c r="L85">
        <f>F136</f>
        <v>0</v>
      </c>
    </row>
    <row r="86" spans="2:22" x14ac:dyDescent="0.25">
      <c r="C86" t="s">
        <v>43</v>
      </c>
      <c r="D86">
        <v>80</v>
      </c>
      <c r="E86">
        <v>0</v>
      </c>
      <c r="F86">
        <v>0.25</v>
      </c>
      <c r="J86">
        <f>D136</f>
        <v>0</v>
      </c>
      <c r="K86">
        <f>E136</f>
        <v>0</v>
      </c>
    </row>
    <row r="87" spans="2:22" x14ac:dyDescent="0.25">
      <c r="C87" t="s">
        <v>44</v>
      </c>
      <c r="D87">
        <v>0</v>
      </c>
      <c r="E87">
        <v>0.5</v>
      </c>
      <c r="F87">
        <v>0.3</v>
      </c>
    </row>
    <row r="88" spans="2:22" x14ac:dyDescent="0.25">
      <c r="C88" t="s">
        <v>45</v>
      </c>
      <c r="E88">
        <v>0.4</v>
      </c>
      <c r="F88">
        <v>0.2</v>
      </c>
      <c r="I88" t="s">
        <v>12</v>
      </c>
      <c r="K88">
        <f>AA10</f>
        <v>0.86650375000000002</v>
      </c>
    </row>
    <row r="89" spans="2:22" x14ac:dyDescent="0.25">
      <c r="C89" t="s">
        <v>46</v>
      </c>
      <c r="D89">
        <v>40</v>
      </c>
      <c r="E89">
        <v>0</v>
      </c>
      <c r="F89">
        <v>0</v>
      </c>
    </row>
    <row r="90" spans="2:22" x14ac:dyDescent="0.25">
      <c r="C90" t="s">
        <v>47</v>
      </c>
      <c r="D90">
        <v>80</v>
      </c>
      <c r="E90">
        <v>0</v>
      </c>
      <c r="F90">
        <v>0</v>
      </c>
      <c r="I90" t="s">
        <v>48</v>
      </c>
      <c r="K90">
        <v>2.5</v>
      </c>
    </row>
    <row r="91" spans="2:22" x14ac:dyDescent="0.25">
      <c r="C91" t="s">
        <v>49</v>
      </c>
      <c r="D91">
        <v>80</v>
      </c>
    </row>
    <row r="92" spans="2:22" x14ac:dyDescent="0.25">
      <c r="C92" t="s">
        <v>50</v>
      </c>
      <c r="D92">
        <v>7</v>
      </c>
      <c r="I92" t="s">
        <v>51</v>
      </c>
      <c r="K92">
        <f>S10</f>
        <v>65.727000000000004</v>
      </c>
    </row>
    <row r="93" spans="2:22" x14ac:dyDescent="0.25">
      <c r="C93" t="s">
        <v>52</v>
      </c>
      <c r="D93">
        <v>25</v>
      </c>
      <c r="E93">
        <v>0.5</v>
      </c>
      <c r="I93" t="s">
        <v>53</v>
      </c>
      <c r="K93">
        <f>K92*(1+1.5*L85)</f>
        <v>65.727000000000004</v>
      </c>
    </row>
    <row r="94" spans="2:22" x14ac:dyDescent="0.25">
      <c r="C94" t="s">
        <v>54</v>
      </c>
      <c r="D94">
        <v>25</v>
      </c>
      <c r="E94">
        <v>0.4</v>
      </c>
      <c r="F94">
        <v>0</v>
      </c>
      <c r="I94" t="s">
        <v>55</v>
      </c>
      <c r="K94">
        <f>K92*IF(B86,2.5,2)</f>
        <v>131.45400000000001</v>
      </c>
    </row>
    <row r="95" spans="2:22" x14ac:dyDescent="0.25">
      <c r="C95" t="s">
        <v>56</v>
      </c>
      <c r="D95">
        <v>30</v>
      </c>
      <c r="E95">
        <v>0</v>
      </c>
      <c r="F95">
        <v>0.15</v>
      </c>
    </row>
    <row r="96" spans="2:22" x14ac:dyDescent="0.25">
      <c r="C96" t="s">
        <v>57</v>
      </c>
      <c r="E96">
        <v>0.2</v>
      </c>
      <c r="I96" t="s">
        <v>58</v>
      </c>
      <c r="K96">
        <f>S10*K88</f>
        <v>56.952691976250001</v>
      </c>
    </row>
    <row r="97" spans="3:11" x14ac:dyDescent="0.25">
      <c r="C97" t="s">
        <v>59</v>
      </c>
      <c r="D97">
        <v>30</v>
      </c>
      <c r="E97">
        <v>0.3</v>
      </c>
      <c r="F97">
        <v>0.1</v>
      </c>
      <c r="I97" t="s">
        <v>60</v>
      </c>
      <c r="K97">
        <f>K96*(1+1.5*L85)</f>
        <v>56.952691976250001</v>
      </c>
    </row>
    <row r="98" spans="3:11" x14ac:dyDescent="0.25">
      <c r="C98" t="s">
        <v>61</v>
      </c>
      <c r="D98">
        <v>20</v>
      </c>
    </row>
    <row r="99" spans="3:11" x14ac:dyDescent="0.25">
      <c r="C99" t="s">
        <v>62</v>
      </c>
      <c r="D99">
        <v>60</v>
      </c>
    </row>
    <row r="100" spans="3:11" x14ac:dyDescent="0.25">
      <c r="C100" t="s">
        <v>63</v>
      </c>
      <c r="D100">
        <v>25</v>
      </c>
    </row>
    <row r="101" spans="3:11" x14ac:dyDescent="0.25">
      <c r="C101" t="s">
        <v>64</v>
      </c>
      <c r="D101">
        <v>50</v>
      </c>
    </row>
    <row r="102" spans="3:11" x14ac:dyDescent="0.25">
      <c r="C102" t="s">
        <v>65</v>
      </c>
      <c r="D102">
        <v>25</v>
      </c>
    </row>
    <row r="103" spans="3:11" x14ac:dyDescent="0.25">
      <c r="C103" t="s">
        <v>66</v>
      </c>
      <c r="D103">
        <v>25</v>
      </c>
    </row>
    <row r="104" spans="3:11" x14ac:dyDescent="0.25">
      <c r="C104" t="s">
        <v>67</v>
      </c>
      <c r="D104">
        <v>40</v>
      </c>
    </row>
    <row r="105" spans="3:11" x14ac:dyDescent="0.25">
      <c r="C105" t="s">
        <v>68</v>
      </c>
      <c r="D105">
        <v>75</v>
      </c>
    </row>
    <row r="106" spans="3:11" x14ac:dyDescent="0.25">
      <c r="C106" t="s">
        <v>69</v>
      </c>
      <c r="D106">
        <v>10</v>
      </c>
    </row>
    <row r="107" spans="3:11" x14ac:dyDescent="0.25">
      <c r="C107" t="s">
        <v>70</v>
      </c>
      <c r="D107">
        <v>25</v>
      </c>
    </row>
    <row r="108" spans="3:11" x14ac:dyDescent="0.25">
      <c r="C108" t="s">
        <v>71</v>
      </c>
      <c r="D108">
        <v>50</v>
      </c>
    </row>
    <row r="112" spans="3:11" x14ac:dyDescent="0.25">
      <c r="C112" s="2" t="s">
        <v>72</v>
      </c>
    </row>
    <row r="113" spans="4:6" x14ac:dyDescent="0.25">
      <c r="D113">
        <f t="shared" ref="D113:D135" si="6">D86*B86</f>
        <v>0</v>
      </c>
      <c r="E113">
        <f t="shared" ref="E113:E135" si="7">E86*B86</f>
        <v>0</v>
      </c>
      <c r="F113">
        <f t="shared" ref="F113:F135" si="8">F86*B86</f>
        <v>0</v>
      </c>
    </row>
    <row r="114" spans="4:6" x14ac:dyDescent="0.25">
      <c r="D114">
        <f t="shared" si="6"/>
        <v>0</v>
      </c>
      <c r="E114">
        <f t="shared" si="7"/>
        <v>0</v>
      </c>
      <c r="F114">
        <f t="shared" si="8"/>
        <v>0</v>
      </c>
    </row>
    <row r="115" spans="4:6" x14ac:dyDescent="0.25">
      <c r="D115">
        <f t="shared" si="6"/>
        <v>0</v>
      </c>
      <c r="E115">
        <f t="shared" si="7"/>
        <v>0</v>
      </c>
      <c r="F115">
        <f t="shared" si="8"/>
        <v>0</v>
      </c>
    </row>
    <row r="116" spans="4:6" x14ac:dyDescent="0.25">
      <c r="D116">
        <f t="shared" si="6"/>
        <v>0</v>
      </c>
      <c r="E116">
        <f t="shared" si="7"/>
        <v>0</v>
      </c>
      <c r="F116">
        <f t="shared" si="8"/>
        <v>0</v>
      </c>
    </row>
    <row r="117" spans="4:6" x14ac:dyDescent="0.25">
      <c r="D117">
        <f t="shared" si="6"/>
        <v>0</v>
      </c>
      <c r="E117">
        <f t="shared" si="7"/>
        <v>0</v>
      </c>
      <c r="F117">
        <f t="shared" si="8"/>
        <v>0</v>
      </c>
    </row>
    <row r="118" spans="4:6" x14ac:dyDescent="0.25">
      <c r="D118">
        <f t="shared" si="6"/>
        <v>0</v>
      </c>
      <c r="E118">
        <f t="shared" si="7"/>
        <v>0</v>
      </c>
      <c r="F118">
        <f t="shared" si="8"/>
        <v>0</v>
      </c>
    </row>
    <row r="119" spans="4:6" x14ac:dyDescent="0.25">
      <c r="D119">
        <f t="shared" si="6"/>
        <v>0</v>
      </c>
      <c r="E119">
        <f t="shared" si="7"/>
        <v>0</v>
      </c>
      <c r="F119">
        <f t="shared" si="8"/>
        <v>0</v>
      </c>
    </row>
    <row r="120" spans="4:6" x14ac:dyDescent="0.25">
      <c r="D120">
        <f t="shared" si="6"/>
        <v>0</v>
      </c>
      <c r="E120">
        <f t="shared" si="7"/>
        <v>0</v>
      </c>
      <c r="F120">
        <f t="shared" si="8"/>
        <v>0</v>
      </c>
    </row>
    <row r="121" spans="4:6" x14ac:dyDescent="0.25">
      <c r="D121">
        <f t="shared" si="6"/>
        <v>0</v>
      </c>
      <c r="E121">
        <f t="shared" si="7"/>
        <v>0</v>
      </c>
      <c r="F121">
        <f t="shared" si="8"/>
        <v>0</v>
      </c>
    </row>
    <row r="122" spans="4:6" x14ac:dyDescent="0.25">
      <c r="D122">
        <f t="shared" si="6"/>
        <v>0</v>
      </c>
      <c r="E122">
        <f t="shared" si="7"/>
        <v>0</v>
      </c>
      <c r="F122">
        <f t="shared" si="8"/>
        <v>0</v>
      </c>
    </row>
    <row r="123" spans="4:6" x14ac:dyDescent="0.25">
      <c r="D123">
        <f t="shared" si="6"/>
        <v>0</v>
      </c>
      <c r="E123">
        <f t="shared" si="7"/>
        <v>0</v>
      </c>
      <c r="F123">
        <f t="shared" si="8"/>
        <v>0</v>
      </c>
    </row>
    <row r="124" spans="4:6" x14ac:dyDescent="0.25">
      <c r="D124">
        <f t="shared" si="6"/>
        <v>0</v>
      </c>
      <c r="E124">
        <f t="shared" si="7"/>
        <v>0</v>
      </c>
      <c r="F124">
        <f t="shared" si="8"/>
        <v>0</v>
      </c>
    </row>
    <row r="125" spans="4:6" x14ac:dyDescent="0.25">
      <c r="D125">
        <f t="shared" si="6"/>
        <v>0</v>
      </c>
      <c r="E125">
        <f t="shared" si="7"/>
        <v>0</v>
      </c>
      <c r="F125">
        <f t="shared" si="8"/>
        <v>0</v>
      </c>
    </row>
    <row r="126" spans="4:6" x14ac:dyDescent="0.25">
      <c r="D126">
        <f t="shared" si="6"/>
        <v>0</v>
      </c>
      <c r="E126">
        <f t="shared" si="7"/>
        <v>0</v>
      </c>
      <c r="F126">
        <f t="shared" si="8"/>
        <v>0</v>
      </c>
    </row>
    <row r="127" spans="4:6" x14ac:dyDescent="0.25">
      <c r="D127">
        <f t="shared" si="6"/>
        <v>0</v>
      </c>
      <c r="E127">
        <f t="shared" si="7"/>
        <v>0</v>
      </c>
      <c r="F127">
        <f t="shared" si="8"/>
        <v>0</v>
      </c>
    </row>
    <row r="128" spans="4:6" x14ac:dyDescent="0.25">
      <c r="D128">
        <f t="shared" si="6"/>
        <v>0</v>
      </c>
      <c r="E128">
        <f t="shared" si="7"/>
        <v>0</v>
      </c>
      <c r="F128">
        <f t="shared" si="8"/>
        <v>0</v>
      </c>
    </row>
    <row r="129" spans="3:6" x14ac:dyDescent="0.25">
      <c r="D129">
        <f t="shared" si="6"/>
        <v>0</v>
      </c>
      <c r="E129">
        <f t="shared" si="7"/>
        <v>0</v>
      </c>
      <c r="F129">
        <f t="shared" si="8"/>
        <v>0</v>
      </c>
    </row>
    <row r="130" spans="3:6" x14ac:dyDescent="0.25">
      <c r="D130">
        <f t="shared" si="6"/>
        <v>0</v>
      </c>
      <c r="E130">
        <f t="shared" si="7"/>
        <v>0</v>
      </c>
      <c r="F130">
        <f t="shared" si="8"/>
        <v>0</v>
      </c>
    </row>
    <row r="131" spans="3:6" x14ac:dyDescent="0.25">
      <c r="D131">
        <f t="shared" si="6"/>
        <v>0</v>
      </c>
      <c r="E131">
        <f t="shared" si="7"/>
        <v>0</v>
      </c>
      <c r="F131">
        <f t="shared" si="8"/>
        <v>0</v>
      </c>
    </row>
    <row r="132" spans="3:6" x14ac:dyDescent="0.25">
      <c r="D132">
        <f t="shared" si="6"/>
        <v>0</v>
      </c>
      <c r="E132">
        <f t="shared" si="7"/>
        <v>0</v>
      </c>
      <c r="F132">
        <f t="shared" si="8"/>
        <v>0</v>
      </c>
    </row>
    <row r="133" spans="3:6" x14ac:dyDescent="0.25">
      <c r="D133">
        <f t="shared" si="6"/>
        <v>0</v>
      </c>
      <c r="E133">
        <f t="shared" si="7"/>
        <v>0</v>
      </c>
      <c r="F133">
        <f t="shared" si="8"/>
        <v>0</v>
      </c>
    </row>
    <row r="134" spans="3:6" x14ac:dyDescent="0.25">
      <c r="D134">
        <f t="shared" si="6"/>
        <v>0</v>
      </c>
      <c r="E134">
        <f t="shared" si="7"/>
        <v>0</v>
      </c>
      <c r="F134">
        <f t="shared" si="8"/>
        <v>0</v>
      </c>
    </row>
    <row r="135" spans="3:6" x14ac:dyDescent="0.25">
      <c r="D135">
        <f t="shared" si="6"/>
        <v>0</v>
      </c>
      <c r="E135">
        <f t="shared" si="7"/>
        <v>0</v>
      </c>
      <c r="F135">
        <f t="shared" si="8"/>
        <v>0</v>
      </c>
    </row>
    <row r="136" spans="3:6" x14ac:dyDescent="0.25">
      <c r="C136" s="2" t="s">
        <v>73</v>
      </c>
      <c r="D136">
        <f>SUM(D113:D135)</f>
        <v>0</v>
      </c>
      <c r="E136">
        <f>SUM(E113:E135)</f>
        <v>0</v>
      </c>
      <c r="F136">
        <f>SUM(F113:F135)</f>
        <v>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Z39"/>
  <sheetViews>
    <sheetView workbookViewId="0">
      <selection activeCell="E23" sqref="E23"/>
    </sheetView>
  </sheetViews>
  <sheetFormatPr defaultRowHeight="15" x14ac:dyDescent="0.25"/>
  <sheetData>
    <row r="2" spans="1:22" x14ac:dyDescent="0.25">
      <c r="B2" t="s">
        <v>6</v>
      </c>
      <c r="P2" t="s">
        <v>263</v>
      </c>
      <c r="V2" t="s">
        <v>266</v>
      </c>
    </row>
    <row r="3" spans="1:22" x14ac:dyDescent="0.25">
      <c r="B3">
        <v>2</v>
      </c>
      <c r="E3" t="s">
        <v>163</v>
      </c>
      <c r="F3" t="s">
        <v>8</v>
      </c>
      <c r="G3" t="s">
        <v>12</v>
      </c>
      <c r="H3" t="s">
        <v>15</v>
      </c>
      <c r="I3" t="s">
        <v>148</v>
      </c>
      <c r="J3" t="s">
        <v>9</v>
      </c>
      <c r="K3" t="s">
        <v>133</v>
      </c>
      <c r="M3" t="s">
        <v>207</v>
      </c>
      <c r="P3" t="s">
        <v>261</v>
      </c>
      <c r="Q3" t="s">
        <v>262</v>
      </c>
      <c r="R3" t="s">
        <v>264</v>
      </c>
      <c r="S3" t="s">
        <v>265</v>
      </c>
      <c r="T3" t="s">
        <v>267</v>
      </c>
      <c r="V3" t="s">
        <v>261</v>
      </c>
    </row>
    <row r="4" spans="1:22" x14ac:dyDescent="0.25">
      <c r="A4" t="s">
        <v>211</v>
      </c>
      <c r="D4" t="s">
        <v>142</v>
      </c>
      <c r="E4">
        <v>2000</v>
      </c>
      <c r="F4">
        <v>73</v>
      </c>
      <c r="G4">
        <v>0.49</v>
      </c>
      <c r="H4">
        <v>20</v>
      </c>
      <c r="I4">
        <f>E4*$B$5</f>
        <v>2100</v>
      </c>
      <c r="J4">
        <f>F4*$B$6</f>
        <v>80.300000000000011</v>
      </c>
      <c r="K4">
        <f>J4*G4</f>
        <v>39.347000000000001</v>
      </c>
      <c r="M4" t="e">
        <f>K4*100/(100+$B$9)</f>
        <v>#REF!</v>
      </c>
      <c r="P4" t="e">
        <f>I4/($B$18*100/(100+H4))</f>
        <v>#REF!</v>
      </c>
      <c r="Q4" t="e">
        <f>P4*K6</f>
        <v>#REF!</v>
      </c>
      <c r="R4" t="e">
        <f>Q4*100/(100+$B$9)</f>
        <v>#REF!</v>
      </c>
      <c r="S4" t="e">
        <f>R4-($B$16*P4)</f>
        <v>#REF!</v>
      </c>
      <c r="T4" t="e">
        <f>100*S4/$B$10</f>
        <v>#REF!</v>
      </c>
      <c r="V4" t="e">
        <f>(I4-$B$20)/($B$18*100/(100+H4))</f>
        <v>#REF!</v>
      </c>
    </row>
    <row r="5" spans="1:22" x14ac:dyDescent="0.25">
      <c r="A5" t="s">
        <v>161</v>
      </c>
      <c r="B5">
        <f>(0.95+0.05*B3)</f>
        <v>1.05</v>
      </c>
      <c r="D5" t="s">
        <v>143</v>
      </c>
      <c r="E5">
        <v>400</v>
      </c>
      <c r="F5">
        <v>12</v>
      </c>
      <c r="G5">
        <v>0.63</v>
      </c>
      <c r="H5">
        <v>20</v>
      </c>
      <c r="I5">
        <f>E5*$B$5</f>
        <v>420</v>
      </c>
      <c r="J5">
        <f>F5*$B$6</f>
        <v>13.200000000000001</v>
      </c>
      <c r="K5">
        <f>J5*G5</f>
        <v>8.3160000000000007</v>
      </c>
      <c r="M5" t="e">
        <f t="shared" ref="M5:M25" si="0">K5*100/(100+$B$9)</f>
        <v>#REF!</v>
      </c>
    </row>
    <row r="6" spans="1:22" x14ac:dyDescent="0.25">
      <c r="A6" t="s">
        <v>162</v>
      </c>
      <c r="B6">
        <f>(0.9+0.1*B3)</f>
        <v>1.1000000000000001</v>
      </c>
      <c r="I6">
        <f>I4+2*I5</f>
        <v>2940</v>
      </c>
      <c r="K6">
        <f>K4+2*K5</f>
        <v>55.978999999999999</v>
      </c>
      <c r="M6" t="e">
        <f t="shared" si="0"/>
        <v>#REF!</v>
      </c>
      <c r="N6" t="e">
        <f>M6-$B$16</f>
        <v>#REF!</v>
      </c>
    </row>
    <row r="8" spans="1:22" x14ac:dyDescent="0.25">
      <c r="A8" t="s">
        <v>212</v>
      </c>
      <c r="D8" t="s">
        <v>140</v>
      </c>
      <c r="E8">
        <v>1800</v>
      </c>
      <c r="F8">
        <v>80</v>
      </c>
      <c r="G8">
        <v>0.6</v>
      </c>
      <c r="H8">
        <v>20</v>
      </c>
      <c r="I8">
        <f>E8*$B$5</f>
        <v>1890</v>
      </c>
      <c r="J8">
        <f>F8*$B$6</f>
        <v>88</v>
      </c>
      <c r="K8">
        <f>J8*G8</f>
        <v>52.8</v>
      </c>
      <c r="M8" t="e">
        <f t="shared" si="0"/>
        <v>#REF!</v>
      </c>
      <c r="P8" t="e">
        <f>I8/($B$18*100/(100+H8))</f>
        <v>#REF!</v>
      </c>
      <c r="Q8" t="e">
        <f>P8*K10</f>
        <v>#REF!</v>
      </c>
      <c r="R8" t="e">
        <f>Q8*100/(100+$B$9)</f>
        <v>#REF!</v>
      </c>
      <c r="S8" t="e">
        <f>R8-($B$16*P8)</f>
        <v>#REF!</v>
      </c>
      <c r="T8" t="e">
        <f>100*S8/$B$10</f>
        <v>#REF!</v>
      </c>
      <c r="V8" t="e">
        <f>(I8-$B$20)/($B$18*100/(100+H8))</f>
        <v>#REF!</v>
      </c>
    </row>
    <row r="9" spans="1:22" x14ac:dyDescent="0.25">
      <c r="A9" t="s">
        <v>15</v>
      </c>
      <c r="B9" t="e">
        <f>#REF!</f>
        <v>#REF!</v>
      </c>
      <c r="D9" t="s">
        <v>141</v>
      </c>
      <c r="E9">
        <v>400</v>
      </c>
      <c r="F9">
        <v>12</v>
      </c>
      <c r="G9">
        <v>0.6</v>
      </c>
      <c r="H9">
        <v>8</v>
      </c>
      <c r="I9">
        <f>E9*$B$5</f>
        <v>420</v>
      </c>
      <c r="J9">
        <f>F9*$B$6</f>
        <v>13.200000000000001</v>
      </c>
      <c r="K9">
        <f>J9*G9</f>
        <v>7.92</v>
      </c>
      <c r="M9" t="e">
        <f t="shared" si="0"/>
        <v>#REF!</v>
      </c>
    </row>
    <row r="10" spans="1:22" x14ac:dyDescent="0.25">
      <c r="A10" t="s">
        <v>148</v>
      </c>
      <c r="B10" t="e">
        <f>#REF!</f>
        <v>#REF!</v>
      </c>
      <c r="I10">
        <f>I8+2*I9</f>
        <v>2730</v>
      </c>
      <c r="K10">
        <f>K8+2*K9</f>
        <v>68.64</v>
      </c>
      <c r="M10" t="e">
        <f t="shared" si="0"/>
        <v>#REF!</v>
      </c>
      <c r="N10" t="e">
        <f>M10-$B$16</f>
        <v>#REF!</v>
      </c>
    </row>
    <row r="12" spans="1:22" x14ac:dyDescent="0.25">
      <c r="A12" t="s">
        <v>213</v>
      </c>
      <c r="D12" t="s">
        <v>144</v>
      </c>
      <c r="E12">
        <v>1320</v>
      </c>
      <c r="F12">
        <v>42</v>
      </c>
      <c r="G12">
        <v>0.63</v>
      </c>
      <c r="H12">
        <v>9</v>
      </c>
      <c r="I12">
        <f t="shared" ref="I12:I20" si="1">E12*$B$5</f>
        <v>1386</v>
      </c>
      <c r="J12">
        <f t="shared" ref="J12:J20" si="2">F12*$B$6</f>
        <v>46.2</v>
      </c>
      <c r="K12">
        <f>J12*G12</f>
        <v>29.106000000000002</v>
      </c>
      <c r="M12" t="e">
        <f t="shared" si="0"/>
        <v>#REF!</v>
      </c>
      <c r="P12" t="e">
        <f>I12/($B$18*100/(100+H12))</f>
        <v>#REF!</v>
      </c>
      <c r="Q12" t="e">
        <f>P12*K14</f>
        <v>#REF!</v>
      </c>
      <c r="R12" t="e">
        <f>Q12*100/(100+$B$9)</f>
        <v>#REF!</v>
      </c>
      <c r="S12" t="e">
        <f>R12-($B$16*P12)</f>
        <v>#REF!</v>
      </c>
      <c r="T12" t="e">
        <f>100*S12/$B$10</f>
        <v>#REF!</v>
      </c>
      <c r="V12" t="e">
        <f>(I12-$B$20)/($B$18*100/(100+H12))</f>
        <v>#REF!</v>
      </c>
    </row>
    <row r="13" spans="1:22" x14ac:dyDescent="0.25">
      <c r="A13" t="s">
        <v>214</v>
      </c>
      <c r="B13">
        <v>7</v>
      </c>
      <c r="D13" t="s">
        <v>164</v>
      </c>
      <c r="E13">
        <v>420</v>
      </c>
      <c r="F13">
        <v>16</v>
      </c>
      <c r="G13">
        <v>0.63</v>
      </c>
      <c r="H13">
        <v>6</v>
      </c>
      <c r="I13">
        <f t="shared" si="1"/>
        <v>441</v>
      </c>
      <c r="J13">
        <f t="shared" si="2"/>
        <v>17.600000000000001</v>
      </c>
      <c r="K13">
        <f t="shared" ref="K13:K20" si="3">J13*G13</f>
        <v>11.088000000000001</v>
      </c>
      <c r="M13" t="e">
        <f t="shared" si="0"/>
        <v>#REF!</v>
      </c>
    </row>
    <row r="14" spans="1:22" x14ac:dyDescent="0.25">
      <c r="A14" t="s">
        <v>215</v>
      </c>
      <c r="B14">
        <v>0</v>
      </c>
      <c r="I14">
        <f>I12+2*I13</f>
        <v>2268</v>
      </c>
      <c r="K14">
        <f>K12+2*K13</f>
        <v>51.282000000000004</v>
      </c>
      <c r="M14" t="e">
        <f t="shared" si="0"/>
        <v>#REF!</v>
      </c>
      <c r="N14" t="e">
        <f>M14-$B$16</f>
        <v>#REF!</v>
      </c>
    </row>
    <row r="15" spans="1:22" x14ac:dyDescent="0.25">
      <c r="A15" t="s">
        <v>213</v>
      </c>
      <c r="B15" t="e">
        <f>#REF!/5</f>
        <v>#REF!</v>
      </c>
    </row>
    <row r="16" spans="1:22" x14ac:dyDescent="0.25">
      <c r="B16" t="e">
        <f>SUM(B13:B15)</f>
        <v>#REF!</v>
      </c>
      <c r="D16" t="s">
        <v>146</v>
      </c>
      <c r="E16">
        <v>1200</v>
      </c>
      <c r="F16">
        <v>55</v>
      </c>
      <c r="G16">
        <v>0.67</v>
      </c>
      <c r="H16">
        <v>15</v>
      </c>
      <c r="I16">
        <f t="shared" si="1"/>
        <v>1260</v>
      </c>
      <c r="J16">
        <f t="shared" si="2"/>
        <v>60.500000000000007</v>
      </c>
      <c r="K16">
        <f t="shared" si="3"/>
        <v>40.535000000000004</v>
      </c>
      <c r="M16" t="e">
        <f t="shared" si="0"/>
        <v>#REF!</v>
      </c>
      <c r="P16" t="e">
        <f>I16/($B$18*100/(100+H16))</f>
        <v>#REF!</v>
      </c>
      <c r="Q16" t="e">
        <f>P16*K18</f>
        <v>#REF!</v>
      </c>
      <c r="R16" t="e">
        <f>Q16*100/(100+$B$9)</f>
        <v>#REF!</v>
      </c>
      <c r="S16" t="e">
        <f>R16-($B$16*P16)</f>
        <v>#REF!</v>
      </c>
      <c r="T16" t="e">
        <f>100*S16/$B$10</f>
        <v>#REF!</v>
      </c>
      <c r="V16" t="e">
        <f>(I16-$B$20)/($B$18*100/(100+H16))</f>
        <v>#REF!</v>
      </c>
    </row>
    <row r="17" spans="1:26" x14ac:dyDescent="0.25">
      <c r="D17" t="s">
        <v>152</v>
      </c>
      <c r="E17">
        <v>250</v>
      </c>
      <c r="F17">
        <v>20</v>
      </c>
      <c r="G17">
        <v>0.67</v>
      </c>
      <c r="H17">
        <v>5</v>
      </c>
      <c r="I17">
        <f t="shared" si="1"/>
        <v>262.5</v>
      </c>
      <c r="J17">
        <f t="shared" si="2"/>
        <v>22</v>
      </c>
      <c r="K17">
        <f t="shared" si="3"/>
        <v>14.74</v>
      </c>
      <c r="M17" t="e">
        <f t="shared" si="0"/>
        <v>#REF!</v>
      </c>
    </row>
    <row r="18" spans="1:26" x14ac:dyDescent="0.25">
      <c r="A18" t="s">
        <v>260</v>
      </c>
      <c r="B18" t="e">
        <f>#REF!</f>
        <v>#REF!</v>
      </c>
      <c r="I18">
        <f>I16+3*I17</f>
        <v>2047.5</v>
      </c>
      <c r="K18">
        <f>K16+3*K17</f>
        <v>84.754999999999995</v>
      </c>
      <c r="M18" t="e">
        <f t="shared" si="0"/>
        <v>#REF!</v>
      </c>
      <c r="N18" t="e">
        <f>M18-$B$16</f>
        <v>#REF!</v>
      </c>
    </row>
    <row r="20" spans="1:26" x14ac:dyDescent="0.25">
      <c r="A20" t="s">
        <v>134</v>
      </c>
      <c r="B20" t="e">
        <f>#REF!</f>
        <v>#REF!</v>
      </c>
      <c r="D20" t="s">
        <v>153</v>
      </c>
      <c r="E20">
        <v>1600</v>
      </c>
      <c r="F20">
        <v>90</v>
      </c>
      <c r="G20">
        <v>0.63</v>
      </c>
      <c r="H20">
        <v>15</v>
      </c>
      <c r="I20">
        <f t="shared" si="1"/>
        <v>1680</v>
      </c>
      <c r="J20">
        <f t="shared" si="2"/>
        <v>99.000000000000014</v>
      </c>
      <c r="K20">
        <f t="shared" si="3"/>
        <v>62.370000000000012</v>
      </c>
      <c r="M20" t="e">
        <f t="shared" si="0"/>
        <v>#REF!</v>
      </c>
      <c r="P20" t="e">
        <f>I20/($B$18*100/(100+H20))</f>
        <v>#REF!</v>
      </c>
      <c r="Q20" t="e">
        <f>P20*K21</f>
        <v>#REF!</v>
      </c>
      <c r="R20" t="e">
        <f>Q20*100/(100+$B$9)</f>
        <v>#REF!</v>
      </c>
      <c r="S20" t="e">
        <f>R20-($B$16*P20)</f>
        <v>#REF!</v>
      </c>
      <c r="T20" t="e">
        <f>100*S20/$B$10</f>
        <v>#REF!</v>
      </c>
      <c r="V20" t="e">
        <f>(I20-$B$20)/($B$18*100/(100+H20))</f>
        <v>#REF!</v>
      </c>
    </row>
    <row r="21" spans="1:26" x14ac:dyDescent="0.25">
      <c r="I21">
        <f>I20</f>
        <v>1680</v>
      </c>
      <c r="K21">
        <f>K20</f>
        <v>62.370000000000012</v>
      </c>
      <c r="M21" t="e">
        <f t="shared" si="0"/>
        <v>#REF!</v>
      </c>
      <c r="N21" t="e">
        <f>M21-$B$16</f>
        <v>#REF!</v>
      </c>
    </row>
    <row r="23" spans="1:26" x14ac:dyDescent="0.25">
      <c r="D23" t="s">
        <v>165</v>
      </c>
      <c r="E23">
        <v>1440</v>
      </c>
      <c r="F23">
        <v>73</v>
      </c>
      <c r="G23">
        <v>0.61</v>
      </c>
      <c r="H23">
        <v>12</v>
      </c>
      <c r="I23">
        <f>E23*$B$5</f>
        <v>1512</v>
      </c>
      <c r="J23">
        <f>F23*$B$6</f>
        <v>80.300000000000011</v>
      </c>
      <c r="K23">
        <f>J23*G23</f>
        <v>48.983000000000004</v>
      </c>
      <c r="M23" t="e">
        <f t="shared" si="0"/>
        <v>#REF!</v>
      </c>
      <c r="P23" t="e">
        <f>I23/($B$18*100/(100+H23))</f>
        <v>#REF!</v>
      </c>
      <c r="Q23" t="e">
        <f>P23*K25</f>
        <v>#REF!</v>
      </c>
      <c r="R23" t="e">
        <f>Q23*100/(100+$B$9)</f>
        <v>#REF!</v>
      </c>
      <c r="S23" t="e">
        <f>R23-($B$16*P23)</f>
        <v>#REF!</v>
      </c>
      <c r="T23" t="e">
        <f>100*S23/$B$10</f>
        <v>#REF!</v>
      </c>
      <c r="V23" t="e">
        <f>(I23-$B$20)/($B$18*100/(100+H23))</f>
        <v>#REF!</v>
      </c>
    </row>
    <row r="24" spans="1:26" x14ac:dyDescent="0.25">
      <c r="D24" t="s">
        <v>166</v>
      </c>
      <c r="E24">
        <v>540</v>
      </c>
      <c r="F24">
        <v>35</v>
      </c>
      <c r="G24">
        <v>0.61</v>
      </c>
      <c r="H24">
        <v>12</v>
      </c>
      <c r="I24">
        <f>E24*$B$5</f>
        <v>567</v>
      </c>
      <c r="J24">
        <f>F24*$B$6</f>
        <v>38.5</v>
      </c>
      <c r="K24">
        <f>J24*G24</f>
        <v>23.484999999999999</v>
      </c>
      <c r="M24" t="e">
        <f t="shared" si="0"/>
        <v>#REF!</v>
      </c>
    </row>
    <row r="25" spans="1:26" x14ac:dyDescent="0.25">
      <c r="I25">
        <f>I23+I24</f>
        <v>2079</v>
      </c>
      <c r="K25">
        <f>K23+K24</f>
        <v>72.468000000000004</v>
      </c>
      <c r="M25" t="e">
        <f t="shared" si="0"/>
        <v>#REF!</v>
      </c>
      <c r="N25" t="e">
        <f>M25-$B$16</f>
        <v>#REF!</v>
      </c>
    </row>
    <row r="27" spans="1:26" x14ac:dyDescent="0.25">
      <c r="U27" t="s">
        <v>173</v>
      </c>
    </row>
    <row r="28" spans="1:26" x14ac:dyDescent="0.25">
      <c r="U28" t="s">
        <v>174</v>
      </c>
      <c r="Y28" t="s">
        <v>179</v>
      </c>
      <c r="Z28">
        <v>4</v>
      </c>
    </row>
    <row r="29" spans="1:26" x14ac:dyDescent="0.25">
      <c r="U29" t="s">
        <v>175</v>
      </c>
      <c r="Y29" t="s">
        <v>180</v>
      </c>
      <c r="Z29">
        <v>4</v>
      </c>
    </row>
    <row r="30" spans="1:26" x14ac:dyDescent="0.25">
      <c r="U30" t="s">
        <v>176</v>
      </c>
      <c r="Y30" t="s">
        <v>181</v>
      </c>
      <c r="Z30">
        <v>4</v>
      </c>
    </row>
    <row r="31" spans="1:26" x14ac:dyDescent="0.25">
      <c r="U31" t="s">
        <v>177</v>
      </c>
      <c r="Y31" t="s">
        <v>182</v>
      </c>
      <c r="Z31">
        <v>4</v>
      </c>
    </row>
    <row r="32" spans="1:26" x14ac:dyDescent="0.25">
      <c r="U32" t="s">
        <v>178</v>
      </c>
      <c r="Y32" t="s">
        <v>183</v>
      </c>
      <c r="Z32">
        <v>4.5</v>
      </c>
    </row>
    <row r="33" spans="25:26" x14ac:dyDescent="0.25">
      <c r="Y33" t="s">
        <v>184</v>
      </c>
      <c r="Z33">
        <v>4</v>
      </c>
    </row>
    <row r="34" spans="25:26" x14ac:dyDescent="0.25">
      <c r="Y34" t="s">
        <v>185</v>
      </c>
      <c r="Z34">
        <v>3.5</v>
      </c>
    </row>
    <row r="35" spans="25:26" x14ac:dyDescent="0.25">
      <c r="Y35" t="s">
        <v>186</v>
      </c>
      <c r="Z35">
        <v>3.5</v>
      </c>
    </row>
    <row r="36" spans="25:26" x14ac:dyDescent="0.25">
      <c r="Y36" t="s">
        <v>187</v>
      </c>
      <c r="Z36">
        <v>4.5</v>
      </c>
    </row>
    <row r="37" spans="25:26" x14ac:dyDescent="0.25">
      <c r="Y37" t="s">
        <v>188</v>
      </c>
      <c r="Z37">
        <v>4</v>
      </c>
    </row>
    <row r="38" spans="25:26" x14ac:dyDescent="0.25">
      <c r="Y38" t="s">
        <v>189</v>
      </c>
      <c r="Z38">
        <v>3.5</v>
      </c>
    </row>
    <row r="39" spans="25:26" x14ac:dyDescent="0.25">
      <c r="Y39" t="s">
        <v>190</v>
      </c>
      <c r="Z39">
        <v>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23"/>
  <sheetViews>
    <sheetView workbookViewId="0">
      <selection activeCell="B24" sqref="B24"/>
    </sheetView>
  </sheetViews>
  <sheetFormatPr defaultRowHeight="15" x14ac:dyDescent="0.25"/>
  <cols>
    <col min="2" max="2" width="16.5703125" customWidth="1"/>
    <col min="3" max="3" width="15.42578125" customWidth="1"/>
    <col min="4" max="4" width="14.5703125" customWidth="1"/>
    <col min="5" max="5" width="16.28515625" customWidth="1"/>
  </cols>
  <sheetData>
    <row r="2" spans="2:6" x14ac:dyDescent="0.25">
      <c r="B2" t="s">
        <v>270</v>
      </c>
      <c r="C2" t="s">
        <v>271</v>
      </c>
      <c r="D2" t="s">
        <v>272</v>
      </c>
      <c r="E2" t="s">
        <v>273</v>
      </c>
      <c r="F2" t="s">
        <v>195</v>
      </c>
    </row>
    <row r="3" spans="2:6" x14ac:dyDescent="0.25">
      <c r="B3">
        <v>2</v>
      </c>
      <c r="C3">
        <v>280</v>
      </c>
      <c r="D3">
        <v>280</v>
      </c>
      <c r="E3">
        <v>2</v>
      </c>
      <c r="F3">
        <f>2+0.5*E3</f>
        <v>3</v>
      </c>
    </row>
    <row r="4" spans="2:6" x14ac:dyDescent="0.25">
      <c r="B4">
        <v>3</v>
      </c>
      <c r="C4">
        <v>380</v>
      </c>
      <c r="D4">
        <v>660</v>
      </c>
      <c r="E4">
        <v>3</v>
      </c>
      <c r="F4">
        <f t="shared" ref="F4:F19" si="0">2+0.5*E4</f>
        <v>3.5</v>
      </c>
    </row>
    <row r="5" spans="2:6" x14ac:dyDescent="0.25">
      <c r="B5">
        <v>4</v>
      </c>
      <c r="C5">
        <v>480</v>
      </c>
      <c r="D5">
        <v>1140</v>
      </c>
      <c r="E5">
        <v>4</v>
      </c>
      <c r="F5">
        <f t="shared" si="0"/>
        <v>4</v>
      </c>
    </row>
    <row r="6" spans="2:6" x14ac:dyDescent="0.25">
      <c r="B6">
        <v>5</v>
      </c>
      <c r="C6">
        <v>580</v>
      </c>
      <c r="D6">
        <v>1720</v>
      </c>
      <c r="E6">
        <v>6</v>
      </c>
      <c r="F6">
        <f t="shared" si="0"/>
        <v>5</v>
      </c>
    </row>
    <row r="7" spans="2:6" x14ac:dyDescent="0.25">
      <c r="B7">
        <v>6</v>
      </c>
      <c r="C7">
        <v>680</v>
      </c>
      <c r="D7">
        <v>2400</v>
      </c>
      <c r="E7">
        <v>9</v>
      </c>
      <c r="F7">
        <f t="shared" si="0"/>
        <v>6.5</v>
      </c>
    </row>
    <row r="8" spans="2:6" x14ac:dyDescent="0.25">
      <c r="B8">
        <v>7</v>
      </c>
      <c r="C8">
        <v>780</v>
      </c>
      <c r="D8">
        <v>3180</v>
      </c>
      <c r="E8">
        <v>11</v>
      </c>
      <c r="F8">
        <f t="shared" si="0"/>
        <v>7.5</v>
      </c>
    </row>
    <row r="9" spans="2:6" x14ac:dyDescent="0.25">
      <c r="B9">
        <v>8</v>
      </c>
      <c r="C9">
        <v>880</v>
      </c>
      <c r="D9">
        <v>4060</v>
      </c>
      <c r="E9">
        <v>14</v>
      </c>
      <c r="F9">
        <f t="shared" si="0"/>
        <v>9</v>
      </c>
    </row>
    <row r="10" spans="2:6" x14ac:dyDescent="0.25">
      <c r="B10">
        <v>9</v>
      </c>
      <c r="C10">
        <v>980</v>
      </c>
      <c r="D10">
        <v>5040</v>
      </c>
      <c r="E10">
        <v>18</v>
      </c>
      <c r="F10">
        <f t="shared" si="0"/>
        <v>11</v>
      </c>
    </row>
    <row r="11" spans="2:6" x14ac:dyDescent="0.25">
      <c r="B11">
        <v>10</v>
      </c>
      <c r="C11">
        <v>1080</v>
      </c>
      <c r="D11">
        <v>6120</v>
      </c>
      <c r="E11">
        <v>21</v>
      </c>
      <c r="F11">
        <f t="shared" si="0"/>
        <v>12.5</v>
      </c>
    </row>
    <row r="12" spans="2:6" x14ac:dyDescent="0.25">
      <c r="B12">
        <v>11</v>
      </c>
      <c r="C12">
        <v>1180</v>
      </c>
      <c r="D12">
        <v>7300</v>
      </c>
      <c r="E12">
        <v>25</v>
      </c>
      <c r="F12">
        <f t="shared" si="0"/>
        <v>14.5</v>
      </c>
    </row>
    <row r="13" spans="2:6" x14ac:dyDescent="0.25">
      <c r="B13">
        <v>12</v>
      </c>
      <c r="C13">
        <v>1280</v>
      </c>
      <c r="D13">
        <v>8580</v>
      </c>
      <c r="E13">
        <v>30</v>
      </c>
      <c r="F13">
        <f t="shared" si="0"/>
        <v>17</v>
      </c>
    </row>
    <row r="14" spans="2:6" x14ac:dyDescent="0.25">
      <c r="B14">
        <v>13</v>
      </c>
      <c r="C14">
        <v>1380</v>
      </c>
      <c r="D14">
        <v>9960</v>
      </c>
      <c r="E14">
        <v>34</v>
      </c>
      <c r="F14">
        <f t="shared" si="0"/>
        <v>19</v>
      </c>
    </row>
    <row r="15" spans="2:6" x14ac:dyDescent="0.25">
      <c r="B15">
        <v>14</v>
      </c>
      <c r="C15">
        <v>1480</v>
      </c>
      <c r="D15">
        <v>11440</v>
      </c>
      <c r="E15">
        <v>39</v>
      </c>
      <c r="F15">
        <f t="shared" si="0"/>
        <v>21.5</v>
      </c>
    </row>
    <row r="16" spans="2:6" x14ac:dyDescent="0.25">
      <c r="B16">
        <v>15</v>
      </c>
      <c r="C16">
        <v>1580</v>
      </c>
      <c r="D16">
        <v>13020</v>
      </c>
      <c r="E16">
        <v>45</v>
      </c>
      <c r="F16">
        <f t="shared" si="0"/>
        <v>24.5</v>
      </c>
    </row>
    <row r="17" spans="2:6" x14ac:dyDescent="0.25">
      <c r="B17">
        <v>16</v>
      </c>
      <c r="C17">
        <v>1680</v>
      </c>
      <c r="D17">
        <v>14700</v>
      </c>
      <c r="E17">
        <v>50</v>
      </c>
      <c r="F17">
        <f t="shared" si="0"/>
        <v>27</v>
      </c>
    </row>
    <row r="18" spans="2:6" x14ac:dyDescent="0.25">
      <c r="B18">
        <v>17</v>
      </c>
      <c r="C18">
        <v>1780</v>
      </c>
      <c r="D18">
        <v>16480</v>
      </c>
      <c r="E18">
        <v>56</v>
      </c>
      <c r="F18">
        <f t="shared" si="0"/>
        <v>30</v>
      </c>
    </row>
    <row r="19" spans="2:6" x14ac:dyDescent="0.25">
      <c r="B19">
        <v>18</v>
      </c>
      <c r="C19">
        <v>1880</v>
      </c>
      <c r="D19">
        <v>18360</v>
      </c>
      <c r="E19">
        <v>62</v>
      </c>
      <c r="F19">
        <f t="shared" si="0"/>
        <v>33</v>
      </c>
    </row>
    <row r="21" spans="2:6" x14ac:dyDescent="0.25">
      <c r="B21" t="s">
        <v>274</v>
      </c>
    </row>
    <row r="22" spans="2:6" x14ac:dyDescent="0.25">
      <c r="B22" t="s">
        <v>275</v>
      </c>
    </row>
    <row r="23" spans="2:6" x14ac:dyDescent="0.25">
      <c r="B23" t="s">
        <v>276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4:U37"/>
  <sheetViews>
    <sheetView workbookViewId="0">
      <selection activeCell="A12" sqref="A12"/>
    </sheetView>
  </sheetViews>
  <sheetFormatPr defaultRowHeight="15" x14ac:dyDescent="0.25"/>
  <cols>
    <col min="2" max="2" width="11.140625" customWidth="1"/>
  </cols>
  <sheetData>
    <row r="4" spans="2:21" x14ac:dyDescent="0.25">
      <c r="C4" t="s">
        <v>186</v>
      </c>
      <c r="P4" t="s">
        <v>111</v>
      </c>
    </row>
    <row r="6" spans="2:21" x14ac:dyDescent="0.25">
      <c r="B6" t="s">
        <v>334</v>
      </c>
      <c r="C6" t="s">
        <v>336</v>
      </c>
      <c r="D6" t="s">
        <v>324</v>
      </c>
      <c r="E6" t="s">
        <v>195</v>
      </c>
      <c r="F6" t="s">
        <v>339</v>
      </c>
      <c r="G6" t="s">
        <v>36</v>
      </c>
      <c r="H6" t="s">
        <v>149</v>
      </c>
      <c r="I6" t="s">
        <v>337</v>
      </c>
      <c r="P6" t="s">
        <v>324</v>
      </c>
      <c r="Q6" t="s">
        <v>195</v>
      </c>
      <c r="R6" t="s">
        <v>36</v>
      </c>
      <c r="S6" t="s">
        <v>149</v>
      </c>
      <c r="T6" t="s">
        <v>327</v>
      </c>
    </row>
    <row r="7" spans="2:21" x14ac:dyDescent="0.25">
      <c r="D7" s="4" t="s">
        <v>325</v>
      </c>
      <c r="E7">
        <v>1730</v>
      </c>
      <c r="G7" t="s">
        <v>323</v>
      </c>
      <c r="H7">
        <v>10</v>
      </c>
      <c r="P7" s="1"/>
      <c r="Q7">
        <v>2000</v>
      </c>
      <c r="T7">
        <v>237</v>
      </c>
      <c r="U7" t="s">
        <v>328</v>
      </c>
    </row>
    <row r="8" spans="2:21" x14ac:dyDescent="0.25">
      <c r="D8" s="4" t="s">
        <v>326</v>
      </c>
      <c r="E8">
        <v>1630</v>
      </c>
      <c r="G8" t="s">
        <v>323</v>
      </c>
      <c r="J8" s="1"/>
    </row>
    <row r="9" spans="2:21" x14ac:dyDescent="0.25">
      <c r="D9" s="5"/>
    </row>
    <row r="10" spans="2:21" x14ac:dyDescent="0.25">
      <c r="B10" t="s">
        <v>335</v>
      </c>
      <c r="C10">
        <v>54</v>
      </c>
      <c r="D10" s="4" t="s">
        <v>333</v>
      </c>
      <c r="E10">
        <v>1530</v>
      </c>
      <c r="F10">
        <v>82</v>
      </c>
      <c r="G10" t="s">
        <v>323</v>
      </c>
      <c r="H10">
        <v>10</v>
      </c>
      <c r="I10" t="s">
        <v>338</v>
      </c>
    </row>
    <row r="11" spans="2:21" x14ac:dyDescent="0.25">
      <c r="B11" t="s">
        <v>340</v>
      </c>
      <c r="C11">
        <v>52</v>
      </c>
      <c r="D11" s="4" t="s">
        <v>342</v>
      </c>
      <c r="E11">
        <v>2050</v>
      </c>
      <c r="F11">
        <v>103</v>
      </c>
      <c r="G11" t="s">
        <v>323</v>
      </c>
      <c r="H11">
        <v>11</v>
      </c>
      <c r="I11" t="s">
        <v>341</v>
      </c>
    </row>
    <row r="12" spans="2:21" x14ac:dyDescent="0.25">
      <c r="B12" t="s">
        <v>343</v>
      </c>
      <c r="C12">
        <v>58</v>
      </c>
      <c r="D12" s="4" t="s">
        <v>345</v>
      </c>
      <c r="E12">
        <v>1620</v>
      </c>
      <c r="F12">
        <v>99</v>
      </c>
      <c r="G12" t="s">
        <v>323</v>
      </c>
      <c r="H12">
        <v>11</v>
      </c>
      <c r="I12" t="s">
        <v>344</v>
      </c>
    </row>
    <row r="33" spans="3:3" x14ac:dyDescent="0.25">
      <c r="C33" s="5"/>
    </row>
    <row r="34" spans="3:3" x14ac:dyDescent="0.25">
      <c r="C34" s="5"/>
    </row>
    <row r="35" spans="3:3" x14ac:dyDescent="0.25">
      <c r="C35" s="5"/>
    </row>
    <row r="36" spans="3:3" x14ac:dyDescent="0.25">
      <c r="C36" s="5"/>
    </row>
    <row r="37" spans="3:3" x14ac:dyDescent="0.25">
      <c r="C37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Maokai</vt:lpstr>
      <vt:lpstr>Gragas</vt:lpstr>
      <vt:lpstr>Jarvan</vt:lpstr>
      <vt:lpstr>Nasus</vt:lpstr>
      <vt:lpstr>Monster Data</vt:lpstr>
      <vt:lpstr>Vlad</vt:lpstr>
      <vt:lpstr>Xin</vt:lpstr>
      <vt:lpstr>Vayne</vt:lpstr>
      <vt:lpstr>Trynd</vt:lpstr>
      <vt:lpstr>Jax</vt:lpstr>
      <vt:lpstr>Garen</vt:lpstr>
      <vt:lpstr>Garen (Update)</vt:lpstr>
      <vt:lpstr>Garen (Update) (2)</vt:lpstr>
      <vt:lpstr>Vi</vt:lpstr>
      <vt:lpstr>Renekton</vt:lpstr>
      <vt:lpstr>Irelia</vt:lpstr>
      <vt:lpstr>Shyvana</vt:lpstr>
      <vt:lpstr>Monster DPS</vt:lpstr>
      <vt:lpstr>Levels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fric0046@umn.edu</dc:creator>
  <cp:lastModifiedBy>fric0046@umn.edu</cp:lastModifiedBy>
  <dcterms:created xsi:type="dcterms:W3CDTF">2014-11-05T10:52:09Z</dcterms:created>
  <dcterms:modified xsi:type="dcterms:W3CDTF">2017-02-15T00:12:23Z</dcterms:modified>
</cp:coreProperties>
</file>